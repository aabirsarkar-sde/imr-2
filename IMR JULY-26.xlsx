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5C8CFE8-DB66-452A-AC2F-EA35DB94C704}" xr6:coauthVersionLast="47" xr6:coauthVersionMax="47" xr10:uidLastSave="{00000000-0000-0000-0000-000000000000}"/>
  <bookViews>
    <workbookView xWindow="-108" yWindow="-108" windowWidth="23256" windowHeight="12456" firstSheet="12" activeTab="15" xr2:uid="{8B4A3E19-DC0F-48CA-AD1A-7988F610EFD8}"/>
  </bookViews>
  <sheets>
    <sheet name="BHARAT 2977(100w)" sheetId="1" r:id="rId1"/>
    <sheet name="BHARAT 3256(200w)" sheetId="2" r:id="rId2"/>
    <sheet name="BHARAT 3257(70w)" sheetId="3" r:id="rId3"/>
    <sheet name="BHARAT 3523(200w)" sheetId="4" r:id="rId4"/>
    <sheet name="BHARAT(70w)" sheetId="5" r:id="rId5"/>
    <sheet name="AARTI (2402) (150w)" sheetId="6" r:id="rId6"/>
    <sheet name="AARTI(2403)(50w)" sheetId="7" r:id="rId7"/>
    <sheet name="AARTI(2405)(60w)" sheetId="8" r:id="rId8"/>
    <sheet name="AARTI(3091)(500w)" sheetId="9" r:id="rId9"/>
    <sheet name="AARTI(3092)(150w)" sheetId="10" r:id="rId10"/>
    <sheet name="CADILA (3775)(110w)" sheetId="11" r:id="rId11"/>
    <sheet name="CADILA(3776)(50w)" sheetId="12" r:id="rId12"/>
    <sheet name="ALIVUS (1942)(200w)" sheetId="13" r:id="rId13"/>
    <sheet name="ALIVUS(3572)(50w)" sheetId="14" r:id="rId14"/>
    <sheet name="ALIVUS(3842)(120w)" sheetId="15" r:id="rId15"/>
    <sheet name="NOCIL(3945)(328w)" sheetId="16" r:id="rId16"/>
  </sheets>
  <definedNames>
    <definedName name="_xlnm.Print_Area" localSheetId="0">'BHARAT 2977(100w)'!$A$1:$T$47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16" l="1"/>
  <c r="L33" i="16"/>
  <c r="E33" i="16"/>
  <c r="L11" i="15" l="1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10" i="15"/>
  <c r="E11" i="15"/>
  <c r="E12" i="15"/>
  <c r="E33" i="15" s="1"/>
  <c r="E13" i="15"/>
  <c r="E14" i="15"/>
  <c r="E15" i="15"/>
  <c r="E16" i="15"/>
  <c r="E17" i="15"/>
  <c r="E10" i="15"/>
  <c r="C12" i="14"/>
  <c r="L11" i="14"/>
  <c r="L12" i="14"/>
  <c r="L14" i="14"/>
  <c r="L15" i="14"/>
  <c r="L16" i="14"/>
  <c r="L17" i="14"/>
  <c r="L18" i="14"/>
  <c r="L19" i="14"/>
  <c r="L13" i="14"/>
  <c r="L10" i="14"/>
  <c r="E11" i="14"/>
  <c r="E10" i="14"/>
  <c r="E33" i="14"/>
  <c r="E36" i="13"/>
  <c r="L36" i="13"/>
  <c r="J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J25" i="13"/>
  <c r="J26" i="13"/>
  <c r="L27" i="13"/>
  <c r="L28" i="13"/>
  <c r="L29" i="13"/>
  <c r="L30" i="13"/>
  <c r="L31" i="13"/>
  <c r="L32" i="13"/>
  <c r="L33" i="13"/>
  <c r="L34" i="13"/>
  <c r="L35" i="13"/>
  <c r="L10" i="13"/>
  <c r="E11" i="13"/>
  <c r="E12" i="13"/>
  <c r="E13" i="13"/>
  <c r="E14" i="13"/>
  <c r="E15" i="13"/>
  <c r="E16" i="13"/>
  <c r="E17" i="13"/>
  <c r="E18" i="13"/>
  <c r="E19" i="13"/>
  <c r="E20" i="13"/>
  <c r="E21" i="13"/>
  <c r="E10" i="13"/>
  <c r="L33" i="15" l="1"/>
  <c r="L33" i="14"/>
  <c r="S24" i="9" l="1"/>
  <c r="S25" i="9"/>
  <c r="S26" i="9"/>
  <c r="S27" i="9"/>
  <c r="S28" i="9"/>
  <c r="S29" i="9"/>
  <c r="S30" i="9"/>
  <c r="S31" i="9"/>
  <c r="S32" i="9"/>
  <c r="S33" i="9"/>
  <c r="S23" i="9"/>
  <c r="S20" i="9"/>
  <c r="S15" i="9"/>
  <c r="S16" i="9"/>
  <c r="S17" i="9"/>
  <c r="S18" i="9"/>
  <c r="S34" i="9" s="1"/>
  <c r="S14" i="9"/>
  <c r="S11" i="9"/>
  <c r="S12" i="9"/>
  <c r="S10" i="9"/>
  <c r="L11" i="9"/>
  <c r="L12" i="9"/>
  <c r="L13" i="9"/>
  <c r="L14" i="9"/>
  <c r="L15" i="9"/>
  <c r="L16" i="9"/>
  <c r="L17" i="9"/>
  <c r="L18" i="9"/>
  <c r="L19" i="9"/>
  <c r="L20" i="9"/>
  <c r="L21" i="9"/>
  <c r="L10" i="9"/>
  <c r="L34" i="9" s="1"/>
  <c r="Q13" i="9"/>
  <c r="L11" i="8"/>
  <c r="L12" i="8"/>
  <c r="L13" i="8"/>
  <c r="L14" i="8"/>
  <c r="L15" i="8"/>
  <c r="L16" i="8"/>
  <c r="L10" i="8"/>
  <c r="E11" i="8"/>
  <c r="E12" i="8"/>
  <c r="E13" i="8"/>
  <c r="E10" i="8"/>
  <c r="E33" i="8"/>
  <c r="S11" i="7"/>
  <c r="S12" i="7"/>
  <c r="S13" i="7"/>
  <c r="S14" i="7"/>
  <c r="S10" i="7"/>
  <c r="S33" i="7" s="1"/>
  <c r="E11" i="7"/>
  <c r="E12" i="7"/>
  <c r="E10" i="7"/>
  <c r="E33" i="7" s="1"/>
  <c r="S11" i="6"/>
  <c r="S12" i="6"/>
  <c r="S13" i="6"/>
  <c r="S14" i="6"/>
  <c r="S15" i="6"/>
  <c r="S16" i="6"/>
  <c r="S17" i="6"/>
  <c r="L11" i="6"/>
  <c r="L12" i="6"/>
  <c r="L13" i="6"/>
  <c r="L14" i="6"/>
  <c r="L15" i="6"/>
  <c r="L16" i="6"/>
  <c r="L17" i="6"/>
  <c r="S10" i="6"/>
  <c r="L10" i="6"/>
  <c r="E11" i="6"/>
  <c r="E12" i="6"/>
  <c r="E13" i="6"/>
  <c r="E14" i="6"/>
  <c r="E15" i="6"/>
  <c r="E16" i="6"/>
  <c r="E17" i="6"/>
  <c r="E18" i="6"/>
  <c r="E10" i="6"/>
  <c r="E33" i="6" s="1"/>
  <c r="S22" i="4"/>
  <c r="E10" i="4"/>
  <c r="E11" i="4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L19" i="5"/>
  <c r="S18" i="5"/>
  <c r="L18" i="5"/>
  <c r="S17" i="5"/>
  <c r="L17" i="5"/>
  <c r="S16" i="5"/>
  <c r="L16" i="5"/>
  <c r="S15" i="5"/>
  <c r="L15" i="5"/>
  <c r="S14" i="5"/>
  <c r="L14" i="5"/>
  <c r="E14" i="5"/>
  <c r="S13" i="5"/>
  <c r="L13" i="5"/>
  <c r="E13" i="5"/>
  <c r="S12" i="5"/>
  <c r="L12" i="5"/>
  <c r="E12" i="5"/>
  <c r="S11" i="5"/>
  <c r="L11" i="5"/>
  <c r="E11" i="5"/>
  <c r="S10" i="5"/>
  <c r="S34" i="5" s="1"/>
  <c r="L10" i="5"/>
  <c r="E10" i="5"/>
  <c r="E23" i="4"/>
  <c r="L22" i="4"/>
  <c r="E22" i="4"/>
  <c r="S21" i="4"/>
  <c r="L21" i="4"/>
  <c r="E21" i="4"/>
  <c r="S20" i="4"/>
  <c r="L20" i="4"/>
  <c r="E20" i="4"/>
  <c r="S19" i="4"/>
  <c r="L19" i="4"/>
  <c r="E19" i="4"/>
  <c r="S18" i="4"/>
  <c r="L18" i="4"/>
  <c r="E18" i="4"/>
  <c r="S17" i="4"/>
  <c r="L17" i="4"/>
  <c r="E17" i="4"/>
  <c r="S16" i="4"/>
  <c r="L16" i="4"/>
  <c r="E16" i="4"/>
  <c r="S15" i="4"/>
  <c r="L15" i="4"/>
  <c r="E15" i="4"/>
  <c r="S14" i="4"/>
  <c r="L14" i="4"/>
  <c r="E14" i="4"/>
  <c r="S13" i="4"/>
  <c r="L13" i="4"/>
  <c r="E13" i="4"/>
  <c r="S12" i="4"/>
  <c r="L12" i="4"/>
  <c r="E12" i="4"/>
  <c r="S11" i="4"/>
  <c r="L11" i="4"/>
  <c r="S10" i="4"/>
  <c r="L10" i="4"/>
  <c r="L11" i="3"/>
  <c r="L12" i="3"/>
  <c r="L13" i="3"/>
  <c r="L14" i="3"/>
  <c r="L15" i="3"/>
  <c r="L33" i="3" s="1"/>
  <c r="L16" i="3"/>
  <c r="L17" i="3"/>
  <c r="L18" i="3"/>
  <c r="L19" i="3"/>
  <c r="L10" i="3"/>
  <c r="E33" i="3"/>
  <c r="E11" i="3"/>
  <c r="E12" i="3"/>
  <c r="E13" i="3"/>
  <c r="E14" i="3"/>
  <c r="E10" i="3"/>
  <c r="S33" i="2"/>
  <c r="S11" i="2"/>
  <c r="S12" i="2"/>
  <c r="S13" i="2"/>
  <c r="S14" i="2"/>
  <c r="S15" i="2"/>
  <c r="S16" i="2"/>
  <c r="S17" i="2"/>
  <c r="S18" i="2"/>
  <c r="S19" i="2"/>
  <c r="S20" i="2"/>
  <c r="S21" i="2"/>
  <c r="S22" i="2"/>
  <c r="S10" i="2"/>
  <c r="E23" i="2"/>
  <c r="E22" i="2"/>
  <c r="E21" i="2"/>
  <c r="E20" i="2"/>
  <c r="E19" i="2"/>
  <c r="E18" i="2"/>
  <c r="E17" i="2"/>
  <c r="E16" i="2"/>
  <c r="L22" i="2"/>
  <c r="L21" i="2"/>
  <c r="L20" i="2"/>
  <c r="L19" i="2"/>
  <c r="L18" i="2"/>
  <c r="L17" i="2"/>
  <c r="L16" i="2"/>
  <c r="L15" i="2"/>
  <c r="E15" i="2"/>
  <c r="L14" i="2"/>
  <c r="E14" i="2"/>
  <c r="L13" i="2"/>
  <c r="E13" i="2"/>
  <c r="L12" i="2"/>
  <c r="E12" i="2"/>
  <c r="L11" i="2"/>
  <c r="E11" i="2"/>
  <c r="L10" i="2"/>
  <c r="E10" i="2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10" i="1"/>
  <c r="E11" i="1"/>
  <c r="E12" i="1"/>
  <c r="E13" i="1"/>
  <c r="E14" i="1"/>
  <c r="E15" i="1"/>
  <c r="E10" i="1"/>
  <c r="L33" i="8" l="1"/>
  <c r="L33" i="6"/>
  <c r="S33" i="6"/>
  <c r="L34" i="5"/>
  <c r="L33" i="5"/>
  <c r="E34" i="5"/>
  <c r="E33" i="5"/>
  <c r="S33" i="4"/>
  <c r="L33" i="4"/>
  <c r="L34" i="4"/>
  <c r="E33" i="4"/>
  <c r="E34" i="4"/>
  <c r="S34" i="4"/>
  <c r="E33" i="2"/>
  <c r="S34" i="2"/>
  <c r="L34" i="2"/>
  <c r="L33" i="2"/>
  <c r="E34" i="2"/>
  <c r="L33" i="1"/>
  <c r="E33" i="1"/>
  <c r="L31" i="16"/>
  <c r="L30" i="16"/>
  <c r="L29" i="16"/>
  <c r="E29" i="16"/>
  <c r="L28" i="16"/>
  <c r="E28" i="16"/>
  <c r="L27" i="16"/>
  <c r="E27" i="16"/>
  <c r="L26" i="16"/>
  <c r="E26" i="16"/>
  <c r="L25" i="16"/>
  <c r="E25" i="16"/>
  <c r="L24" i="16"/>
  <c r="E24" i="16"/>
  <c r="L23" i="16"/>
  <c r="E23" i="16"/>
  <c r="L22" i="16"/>
  <c r="E22" i="16"/>
  <c r="S21" i="16"/>
  <c r="L21" i="16"/>
  <c r="E21" i="16"/>
  <c r="S20" i="16"/>
  <c r="L20" i="16"/>
  <c r="E20" i="16"/>
  <c r="S19" i="16"/>
  <c r="L19" i="16"/>
  <c r="E19" i="16"/>
  <c r="S18" i="16"/>
  <c r="L18" i="16"/>
  <c r="E18" i="16"/>
  <c r="S17" i="16"/>
  <c r="L17" i="16"/>
  <c r="E17" i="16"/>
  <c r="S16" i="16"/>
  <c r="L16" i="16"/>
  <c r="E16" i="16"/>
  <c r="S15" i="16"/>
  <c r="L15" i="16"/>
  <c r="E15" i="16"/>
  <c r="S14" i="16"/>
  <c r="L14" i="16"/>
  <c r="E14" i="16"/>
  <c r="S13" i="16"/>
  <c r="L13" i="16"/>
  <c r="E13" i="16"/>
  <c r="S12" i="16"/>
  <c r="L12" i="16"/>
  <c r="E12" i="16"/>
  <c r="S11" i="16"/>
  <c r="L11" i="16"/>
  <c r="E11" i="16"/>
  <c r="S10" i="16"/>
  <c r="L10" i="16"/>
  <c r="E10" i="16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S12" i="15"/>
  <c r="S11" i="15"/>
  <c r="S10" i="15"/>
  <c r="S34" i="15" s="1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34" i="14" s="1"/>
  <c r="S35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L37" i="13"/>
  <c r="S10" i="13"/>
  <c r="S37" i="13" s="1"/>
  <c r="S32" i="12"/>
  <c r="L32" i="12"/>
  <c r="E32" i="12"/>
  <c r="S31" i="12"/>
  <c r="L31" i="12"/>
  <c r="E31" i="12"/>
  <c r="S30" i="12"/>
  <c r="L30" i="12"/>
  <c r="E30" i="12"/>
  <c r="S29" i="12"/>
  <c r="L29" i="12"/>
  <c r="E29" i="12"/>
  <c r="S28" i="12"/>
  <c r="L28" i="12"/>
  <c r="E28" i="12"/>
  <c r="S27" i="12"/>
  <c r="L27" i="12"/>
  <c r="E27" i="12"/>
  <c r="S26" i="12"/>
  <c r="L26" i="12"/>
  <c r="E26" i="12"/>
  <c r="S25" i="12"/>
  <c r="L25" i="12"/>
  <c r="E25" i="12"/>
  <c r="S24" i="12"/>
  <c r="L24" i="12"/>
  <c r="E24" i="12"/>
  <c r="S23" i="12"/>
  <c r="L23" i="12"/>
  <c r="E23" i="12"/>
  <c r="S22" i="12"/>
  <c r="L22" i="12"/>
  <c r="E22" i="12"/>
  <c r="S21" i="12"/>
  <c r="L21" i="12"/>
  <c r="E21" i="12"/>
  <c r="S20" i="12"/>
  <c r="L20" i="12"/>
  <c r="E20" i="12"/>
  <c r="S19" i="12"/>
  <c r="L19" i="12"/>
  <c r="E19" i="12"/>
  <c r="S18" i="12"/>
  <c r="L18" i="12"/>
  <c r="E18" i="12"/>
  <c r="S17" i="12"/>
  <c r="L17" i="12"/>
  <c r="E17" i="12"/>
  <c r="S16" i="12"/>
  <c r="L16" i="12"/>
  <c r="E16" i="12"/>
  <c r="S15" i="12"/>
  <c r="L15" i="12"/>
  <c r="E15" i="12"/>
  <c r="S14" i="12"/>
  <c r="L14" i="12"/>
  <c r="E14" i="12"/>
  <c r="S13" i="12"/>
  <c r="L13" i="12"/>
  <c r="E13" i="12"/>
  <c r="S12" i="12"/>
  <c r="L12" i="12"/>
  <c r="E12" i="12"/>
  <c r="S11" i="12"/>
  <c r="L11" i="12"/>
  <c r="E11" i="12"/>
  <c r="S10" i="12"/>
  <c r="S34" i="12" s="1"/>
  <c r="L10" i="12"/>
  <c r="L34" i="12" s="1"/>
  <c r="E10" i="12"/>
  <c r="E34" i="12" s="1"/>
  <c r="S32" i="11"/>
  <c r="L32" i="11"/>
  <c r="E32" i="11"/>
  <c r="S31" i="11"/>
  <c r="L31" i="11"/>
  <c r="E31" i="11"/>
  <c r="S30" i="11"/>
  <c r="L30" i="11"/>
  <c r="E30" i="11"/>
  <c r="S29" i="11"/>
  <c r="L29" i="11"/>
  <c r="E29" i="11"/>
  <c r="S28" i="11"/>
  <c r="L28" i="11"/>
  <c r="E28" i="11"/>
  <c r="S27" i="11"/>
  <c r="L27" i="11"/>
  <c r="E27" i="11"/>
  <c r="S26" i="11"/>
  <c r="L26" i="11"/>
  <c r="E26" i="11"/>
  <c r="S25" i="11"/>
  <c r="L25" i="11"/>
  <c r="E25" i="11"/>
  <c r="S24" i="11"/>
  <c r="L24" i="11"/>
  <c r="E24" i="11"/>
  <c r="S23" i="11"/>
  <c r="L23" i="11"/>
  <c r="E23" i="11"/>
  <c r="S22" i="11"/>
  <c r="L22" i="11"/>
  <c r="E22" i="11"/>
  <c r="S21" i="11"/>
  <c r="L21" i="11"/>
  <c r="E21" i="11"/>
  <c r="S20" i="11"/>
  <c r="L20" i="11"/>
  <c r="E20" i="11"/>
  <c r="S19" i="11"/>
  <c r="L19" i="11"/>
  <c r="E19" i="11"/>
  <c r="S18" i="11"/>
  <c r="L18" i="11"/>
  <c r="E18" i="11"/>
  <c r="S17" i="11"/>
  <c r="L17" i="11"/>
  <c r="E17" i="11"/>
  <c r="S16" i="11"/>
  <c r="L16" i="11"/>
  <c r="E16" i="11"/>
  <c r="S15" i="11"/>
  <c r="L15" i="11"/>
  <c r="E15" i="11"/>
  <c r="S14" i="11"/>
  <c r="L14" i="11"/>
  <c r="E14" i="11"/>
  <c r="S13" i="11"/>
  <c r="L13" i="11"/>
  <c r="E13" i="11"/>
  <c r="S12" i="11"/>
  <c r="L12" i="11"/>
  <c r="E12" i="11"/>
  <c r="S11" i="11"/>
  <c r="L11" i="11"/>
  <c r="E11" i="11"/>
  <c r="S10" i="11"/>
  <c r="S34" i="11" s="1"/>
  <c r="L10" i="11"/>
  <c r="L34" i="11" s="1"/>
  <c r="E10" i="11"/>
  <c r="E34" i="11" s="1"/>
  <c r="E34" i="10"/>
  <c r="S32" i="10"/>
  <c r="L32" i="10"/>
  <c r="E32" i="10"/>
  <c r="S31" i="10"/>
  <c r="L31" i="10"/>
  <c r="E31" i="10"/>
  <c r="S30" i="10"/>
  <c r="L30" i="10"/>
  <c r="E30" i="10"/>
  <c r="S29" i="10"/>
  <c r="L29" i="10"/>
  <c r="E29" i="10"/>
  <c r="S28" i="10"/>
  <c r="L28" i="10"/>
  <c r="E28" i="10"/>
  <c r="S27" i="10"/>
  <c r="L27" i="10"/>
  <c r="E27" i="10"/>
  <c r="S26" i="10"/>
  <c r="L26" i="10"/>
  <c r="E26" i="10"/>
  <c r="S25" i="10"/>
  <c r="L25" i="10"/>
  <c r="E25" i="10"/>
  <c r="S24" i="10"/>
  <c r="L24" i="10"/>
  <c r="E24" i="10"/>
  <c r="S23" i="10"/>
  <c r="L23" i="10"/>
  <c r="E23" i="10"/>
  <c r="S22" i="10"/>
  <c r="L22" i="10"/>
  <c r="E22" i="10"/>
  <c r="S21" i="10"/>
  <c r="L21" i="10"/>
  <c r="E21" i="10"/>
  <c r="S20" i="10"/>
  <c r="L20" i="10"/>
  <c r="E20" i="10"/>
  <c r="S19" i="10"/>
  <c r="L19" i="10"/>
  <c r="E19" i="10"/>
  <c r="S18" i="10"/>
  <c r="L18" i="10"/>
  <c r="E18" i="10"/>
  <c r="S17" i="10"/>
  <c r="L17" i="10"/>
  <c r="E17" i="10"/>
  <c r="S16" i="10"/>
  <c r="L16" i="10"/>
  <c r="E16" i="10"/>
  <c r="S15" i="10"/>
  <c r="L15" i="10"/>
  <c r="E15" i="10"/>
  <c r="S14" i="10"/>
  <c r="L14" i="10"/>
  <c r="E14" i="10"/>
  <c r="S13" i="10"/>
  <c r="L13" i="10"/>
  <c r="E13" i="10"/>
  <c r="S12" i="10"/>
  <c r="L12" i="10"/>
  <c r="E12" i="10"/>
  <c r="S11" i="10"/>
  <c r="L11" i="10"/>
  <c r="E11" i="10"/>
  <c r="S10" i="10"/>
  <c r="S34" i="10" s="1"/>
  <c r="L10" i="10"/>
  <c r="L34" i="10" s="1"/>
  <c r="E10" i="10"/>
  <c r="Q22" i="9"/>
  <c r="Q21" i="9"/>
  <c r="E21" i="9"/>
  <c r="E20" i="9"/>
  <c r="Q19" i="9"/>
  <c r="E19" i="9"/>
  <c r="E18" i="9"/>
  <c r="E17" i="9"/>
  <c r="E16" i="9"/>
  <c r="E15" i="9"/>
  <c r="E14" i="9"/>
  <c r="E13" i="9"/>
  <c r="E12" i="9"/>
  <c r="E11" i="9"/>
  <c r="E10" i="9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34" i="8" s="1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34" i="7" s="1"/>
  <c r="S34" i="6"/>
  <c r="S34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E34" i="3"/>
  <c r="S10" i="3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10" i="1"/>
  <c r="S34" i="1" s="1"/>
  <c r="S34" i="16" l="1"/>
  <c r="L34" i="16"/>
  <c r="E34" i="16"/>
  <c r="L34" i="15"/>
  <c r="E34" i="15"/>
  <c r="L34" i="14"/>
  <c r="E34" i="14"/>
  <c r="E37" i="13"/>
  <c r="E34" i="9"/>
  <c r="S35" i="9"/>
  <c r="L35" i="9"/>
  <c r="E35" i="9"/>
  <c r="L34" i="8"/>
  <c r="E34" i="8"/>
  <c r="S34" i="7"/>
  <c r="E34" i="7"/>
  <c r="L34" i="6"/>
  <c r="E34" i="6"/>
  <c r="L34" i="3"/>
  <c r="L34" i="1"/>
  <c r="E34" i="1"/>
</calcChain>
</file>

<file path=xl/sharedStrings.xml><?xml version="1.0" encoding="utf-8"?>
<sst xmlns="http://schemas.openxmlformats.org/spreadsheetml/2006/main" count="1651" uniqueCount="94">
  <si>
    <t>INDIVIDUAL MODULE REPORT (IMR)</t>
  </si>
  <si>
    <t xml:space="preserve">VERSION : 04 Date : 15.11.2023/Form No. :- RSS/IND-SRV/11   REV : 00  </t>
  </si>
  <si>
    <t xml:space="preserve">Sub Contractor - Zero Discharge systems Pvt ltd </t>
  </si>
  <si>
    <t xml:space="preserve">SITE NAME                                       :-                                                                                                                                   Date     :-  </t>
  </si>
  <si>
    <t xml:space="preserve">LOCATION              :-      </t>
  </si>
  <si>
    <t>I STAGE</t>
  </si>
  <si>
    <t>II STAGE</t>
  </si>
  <si>
    <t>III STAGE</t>
  </si>
  <si>
    <t>Mo no.</t>
  </si>
  <si>
    <t>Inst Date</t>
  </si>
  <si>
    <t>Time for ______ ml</t>
  </si>
  <si>
    <t xml:space="preserve">Colour/ Non Colour </t>
  </si>
  <si>
    <t>Total flow liter/hr.</t>
  </si>
  <si>
    <t>Cond.    us/cm</t>
  </si>
  <si>
    <t>TOTAL</t>
  </si>
  <si>
    <t>AVERAGE</t>
  </si>
  <si>
    <t>OPERATING PARAMETERS</t>
  </si>
  <si>
    <t>CIS - 151 -</t>
  </si>
  <si>
    <t>us/cm</t>
  </si>
  <si>
    <t>PI - 121 -</t>
  </si>
  <si>
    <t>bar</t>
  </si>
  <si>
    <t>CIS - 180 -</t>
  </si>
  <si>
    <t>PI - 141 -</t>
  </si>
  <si>
    <t>pH - 141 -</t>
  </si>
  <si>
    <t>-</t>
  </si>
  <si>
    <t>PI - 151 -</t>
  </si>
  <si>
    <t>TI - 151 -</t>
  </si>
  <si>
    <t>deg. C</t>
  </si>
  <si>
    <t>PI - 1601 -</t>
  </si>
  <si>
    <t>FI - 181 -</t>
  </si>
  <si>
    <t>lit/hrs.</t>
  </si>
  <si>
    <t>PI - 162-</t>
  </si>
  <si>
    <t>FI - 182 -</t>
  </si>
  <si>
    <t>PREPARED BY</t>
  </si>
  <si>
    <t>CHECKED BY</t>
  </si>
  <si>
    <t>APPROVED BY</t>
  </si>
  <si>
    <t>PI - 1602 -</t>
  </si>
  <si>
    <t>FIS - 180 -</t>
  </si>
  <si>
    <t>SITE INCHARGE</t>
  </si>
  <si>
    <t>AREA ENGINEER</t>
  </si>
  <si>
    <t>ZONAL ATM</t>
  </si>
  <si>
    <t>PI - 171 -</t>
  </si>
  <si>
    <t>Reject cond</t>
  </si>
  <si>
    <t>PI - 180 -</t>
  </si>
  <si>
    <t>Feed Flow</t>
  </si>
  <si>
    <t>m3/hr</t>
  </si>
  <si>
    <t>Permeat Flow</t>
  </si>
  <si>
    <t xml:space="preserve">PLANT CAPACITY/PLANT SR.NO.  :-                                                                                                                                Time     :-  </t>
  </si>
  <si>
    <t>FI - 183 -</t>
  </si>
  <si>
    <t xml:space="preserve"> Non Colour .</t>
  </si>
  <si>
    <t>Time for 500 ml</t>
  </si>
  <si>
    <t>colour</t>
  </si>
  <si>
    <t>PI - 131 -</t>
  </si>
  <si>
    <t>PLANT CAPACITY/PLANT SR.NO.  :-   100W /2977                                                                                                       Time     :-  10.00</t>
  </si>
  <si>
    <t>SITE NAME                                       :-  BHARAT RASAYAN DAHEJ                                                                                 Date     :-  11/07/2026</t>
  </si>
  <si>
    <t>Time for 250 ml</t>
  </si>
  <si>
    <t>Colour</t>
  </si>
  <si>
    <t>PLANT CAPACITY/PLANT SR.NO.  :-   200W /3256                                                                                                       Time     :-  10.30</t>
  </si>
  <si>
    <t>PI - 163-</t>
  </si>
  <si>
    <t>SITE NAME                                       :-       BHARAT RASAYAN DAHEJ                                                                           Date     :-  11/07/2026</t>
  </si>
  <si>
    <t>PLANT CAPACITY/PLANT SR.NO.  :-   200W /3523                                                                                                       Time     :-  14.30</t>
  </si>
  <si>
    <t>PLANT CAPACITY/PLANT SR.NO.  :-       70w/3257                                                                                                      Time     :-  11:30</t>
  </si>
  <si>
    <t>PLANT CAPACITY/PLANT SR.NO.  :-       70w/3524                                                                                                      Time     :-  15:00</t>
  </si>
  <si>
    <t>Time for 250  ml</t>
  </si>
  <si>
    <t>SITE NAME                                       :-         AARTI NEO DAHEJ                                                                                       Date     :-  10/07/2026</t>
  </si>
  <si>
    <t>PLANT CAPACITY/PLANT SR.NO.  :-                    2402/150w                                                                                      Time     :-  10.00</t>
  </si>
  <si>
    <t>PLANT CAPACITY/PLANT SR.NO.  :-          2403 /50w                                                                                                                      Time     :-  10.30</t>
  </si>
  <si>
    <t>SITE NAME                                       :-          AARTI NEO DAHEJ                                                                                                          Date     :-  10/07/2026</t>
  </si>
  <si>
    <t>2ND STAGE BYPASS</t>
  </si>
  <si>
    <t>Time for 250ml</t>
  </si>
  <si>
    <t>SITE NAME                                       :-    AARTI NEO DAHEJ                                                                                            Date     :-  10/07/2026</t>
  </si>
  <si>
    <t>PLANT CAPACITY/PLANT SR.NO.  :-                   60w/2405                                                                                          Time     :-  11.00</t>
  </si>
  <si>
    <t>SITE NAME                                       :-     AARTI NEO DAHEJ                                                                                           Date     :-  13-07-2026</t>
  </si>
  <si>
    <t>PLANT CAPACITY/PLANT SR.NO.  :-             500W/STPT RO                                                                                       Time     :-  11.0</t>
  </si>
  <si>
    <t>Time for 1000 ml</t>
  </si>
  <si>
    <t>PI - 1621-</t>
  </si>
  <si>
    <t>PI - 1631-</t>
  </si>
  <si>
    <t>plant stop due to membrane shift in OLD HP RO</t>
  </si>
  <si>
    <t>Non Colour</t>
  </si>
  <si>
    <t>SITE NAME                                       :-       alivus life science dahej                                                                              Date     :-  2-07-2026</t>
  </si>
  <si>
    <t>PLANT CAPACITY/PLANT SR.NO.  :-         200W/1942                                                                                                Time     :-  10.00</t>
  </si>
  <si>
    <t>SITE NAME                                       :-         ALIVUS LIFE SCIENCE DAHEJ                                                                      Date     :-  02/07/2026</t>
  </si>
  <si>
    <t>PLANT CAPACITY/PLANT SR.NO.  :-          50W/3572                                                                                                   Time     :-  10.30</t>
  </si>
  <si>
    <t>Time for  500ml</t>
  </si>
  <si>
    <t>SITE NAME                                       :-       ALIVUS LIFE SCIENCE DAHEJ                                                                        Date     :-  02-07-2026</t>
  </si>
  <si>
    <t>PLANT CAPACITY/PLANT SR.NO.  :-          120w/3842                                                                                                 Time     :-  11.00</t>
  </si>
  <si>
    <t>Fab2021</t>
  </si>
  <si>
    <t xml:space="preserve">SITE NAME                                       :-         CADILA PHARMA DAHEJ                                                                            Date     :-  </t>
  </si>
  <si>
    <t xml:space="preserve">PLANT CAPACITY/PLANT SR.NO.  :-          110W  /3775                                                                                              Time     :-  </t>
  </si>
  <si>
    <t>SITE NAME                                       :-         NOCIL LIMITED                                                                                             Date     :-  15-07-2026</t>
  </si>
  <si>
    <t>PLANT CAPACITY/PLANT SR.NO.  :-            328w/3945                                                                                               Time     :-  12.00</t>
  </si>
  <si>
    <t>LOCATION              :-      DAHEJ</t>
  </si>
  <si>
    <t>Time for 1000ml</t>
  </si>
  <si>
    <t>PI - 1621 -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</si>
</sst>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[$-409]mmm/yy;@"/>
    <numFmt numFmtId="166" formatCode="0.00_ "/>
    <numFmt numFmtId="168" formatCode="0.0"/>
    <numFmt numFmtId="169" formatCode="0;[Red]0"/>
    <numFmt numFmtId="170" formatCode="mmm\ yyyy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i/>
      <sz val="8"/>
      <name val="Calibri"/>
      <family val="2"/>
    </font>
    <font>
      <sz val="12"/>
      <name val="Calibri"/>
      <family val="2"/>
      <scheme val="minor"/>
    </font>
    <font>
      <sz val="16"/>
      <name val="Calibri"/>
      <family val="2"/>
    </font>
    <font>
      <b/>
      <sz val="11"/>
      <color theme="1"/>
      <name val="Calibri"/>
    </font>
    <font>
      <sz val="16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i/>
      <sz val="11"/>
      <name val="Calibri"/>
      <family val="2"/>
    </font>
    <font>
      <sz val="10"/>
      <name val="Calibri"/>
      <family val="2"/>
      <scheme val="minor"/>
    </font>
    <font>
      <sz val="14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0">
    <xf numFmtId="0" fontId="0" fillId="0" borderId="0" xfId="0"/>
    <xf numFmtId="0" fontId="2" fillId="2" borderId="2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4" fillId="2" borderId="2" xfId="1" applyFont="1" applyFill="1" applyBorder="1"/>
    <xf numFmtId="0" fontId="4" fillId="2" borderId="3" xfId="1" applyFont="1" applyFill="1" applyBorder="1"/>
    <xf numFmtId="0" fontId="0" fillId="2" borderId="0" xfId="0" applyFill="1"/>
    <xf numFmtId="0" fontId="7" fillId="2" borderId="4" xfId="0" applyFont="1" applyFill="1" applyBorder="1"/>
    <xf numFmtId="0" fontId="7" fillId="2" borderId="0" xfId="0" applyFont="1" applyFill="1"/>
    <xf numFmtId="0" fontId="7" fillId="2" borderId="5" xfId="0" applyFont="1" applyFill="1" applyBorder="1"/>
    <xf numFmtId="0" fontId="7" fillId="2" borderId="14" xfId="0" applyFont="1" applyFill="1" applyBorder="1"/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164" fontId="7" fillId="2" borderId="22" xfId="0" applyNumberFormat="1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23" xfId="0" applyFont="1" applyFill="1" applyBorder="1" applyProtection="1">
      <protection locked="0"/>
    </xf>
    <xf numFmtId="164" fontId="7" fillId="2" borderId="19" xfId="0" applyNumberFormat="1" applyFont="1" applyFill="1" applyBorder="1" applyProtection="1">
      <protection locked="0"/>
    </xf>
    <xf numFmtId="0" fontId="7" fillId="2" borderId="24" xfId="0" applyFont="1" applyFill="1" applyBorder="1" applyProtection="1">
      <protection locked="0"/>
    </xf>
    <xf numFmtId="0" fontId="7" fillId="2" borderId="20" xfId="0" applyFont="1" applyFill="1" applyBorder="1" applyProtection="1">
      <protection locked="0"/>
    </xf>
    <xf numFmtId="0" fontId="7" fillId="2" borderId="19" xfId="0" applyFont="1" applyFill="1" applyBorder="1" applyProtection="1">
      <protection locked="0"/>
    </xf>
    <xf numFmtId="0" fontId="7" fillId="2" borderId="20" xfId="0" applyFont="1" applyFill="1" applyBorder="1"/>
    <xf numFmtId="0" fontId="9" fillId="2" borderId="4" xfId="0" applyFont="1" applyFill="1" applyBorder="1"/>
    <xf numFmtId="0" fontId="8" fillId="2" borderId="14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4" xfId="0" applyFont="1" applyFill="1" applyBorder="1"/>
    <xf numFmtId="0" fontId="11" fillId="2" borderId="21" xfId="0" applyFont="1" applyFill="1" applyBorder="1"/>
    <xf numFmtId="0" fontId="11" fillId="2" borderId="2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1" fillId="2" borderId="18" xfId="0" applyFont="1" applyFill="1" applyBorder="1"/>
    <xf numFmtId="0" fontId="11" fillId="2" borderId="20" xfId="0" applyFont="1" applyFill="1" applyBorder="1" applyAlignment="1">
      <alignment horizontal="center" vertical="center" wrapText="1"/>
    </xf>
    <xf numFmtId="0" fontId="7" fillId="2" borderId="9" xfId="0" applyFont="1" applyFill="1" applyBorder="1"/>
    <xf numFmtId="0" fontId="7" fillId="2" borderId="10" xfId="0" applyFont="1" applyFill="1" applyBorder="1"/>
    <xf numFmtId="0" fontId="8" fillId="2" borderId="20" xfId="0" applyFont="1" applyFill="1" applyBorder="1" applyAlignment="1">
      <alignment horizontal="center" vertical="center" wrapText="1"/>
    </xf>
    <xf numFmtId="0" fontId="7" fillId="2" borderId="11" xfId="0" applyFont="1" applyFill="1" applyBorder="1"/>
    <xf numFmtId="0" fontId="2" fillId="2" borderId="2" xfId="1" applyFont="1" applyFill="1" applyBorder="1" applyAlignment="1">
      <alignment horizontal="center" vertical="center"/>
    </xf>
    <xf numFmtId="0" fontId="7" fillId="2" borderId="21" xfId="0" applyFont="1" applyFill="1" applyBorder="1" applyAlignment="1" applyProtection="1">
      <alignment horizontal="center"/>
      <protection locked="0"/>
    </xf>
    <xf numFmtId="0" fontId="7" fillId="2" borderId="18" xfId="0" applyFont="1" applyFill="1" applyBorder="1" applyAlignment="1" applyProtection="1">
      <alignment horizontal="center"/>
      <protection locked="0"/>
    </xf>
    <xf numFmtId="0" fontId="7" fillId="2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164" fontId="7" fillId="2" borderId="22" xfId="0" applyNumberFormat="1" applyFont="1" applyFill="1" applyBorder="1" applyAlignment="1" applyProtection="1">
      <alignment horizontal="center"/>
      <protection locked="0"/>
    </xf>
    <xf numFmtId="0" fontId="7" fillId="2" borderId="22" xfId="0" applyFont="1" applyFill="1" applyBorder="1" applyAlignment="1" applyProtection="1">
      <alignment horizontal="center"/>
      <protection locked="0"/>
    </xf>
    <xf numFmtId="164" fontId="7" fillId="2" borderId="19" xfId="0" applyNumberFormat="1" applyFont="1" applyFill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/>
      <protection locked="0"/>
    </xf>
    <xf numFmtId="0" fontId="7" fillId="2" borderId="23" xfId="0" applyFont="1" applyFill="1" applyBorder="1" applyAlignment="1" applyProtection="1">
      <alignment horizontal="center"/>
      <protection locked="0"/>
    </xf>
    <xf numFmtId="0" fontId="7" fillId="2" borderId="20" xfId="0" applyFont="1" applyFill="1" applyBorder="1" applyAlignment="1" applyProtection="1">
      <alignment horizontal="center"/>
      <protection locked="0"/>
    </xf>
    <xf numFmtId="0" fontId="13" fillId="2" borderId="22" xfId="0" applyFont="1" applyFill="1" applyBorder="1" applyAlignment="1" applyProtection="1">
      <alignment horizontal="center"/>
      <protection locked="0"/>
    </xf>
    <xf numFmtId="0" fontId="13" fillId="2" borderId="19" xfId="0" applyFont="1" applyFill="1" applyBorder="1" applyAlignment="1" applyProtection="1">
      <alignment horizontal="center"/>
      <protection locked="0"/>
    </xf>
    <xf numFmtId="0" fontId="7" fillId="2" borderId="13" xfId="0" applyFont="1" applyFill="1" applyBorder="1" applyAlignment="1" applyProtection="1">
      <alignment horizontal="center"/>
      <protection locked="0"/>
    </xf>
    <xf numFmtId="0" fontId="7" fillId="2" borderId="22" xfId="0" applyFont="1" applyFill="1" applyBorder="1"/>
    <xf numFmtId="0" fontId="7" fillId="2" borderId="27" xfId="0" applyFont="1" applyFill="1" applyBorder="1" applyAlignment="1" applyProtection="1">
      <alignment horizontal="center"/>
      <protection locked="0"/>
    </xf>
    <xf numFmtId="0" fontId="14" fillId="2" borderId="22" xfId="1" applyFont="1" applyFill="1" applyBorder="1" applyAlignment="1">
      <alignment horizontal="center" wrapText="1"/>
    </xf>
    <xf numFmtId="0" fontId="14" fillId="2" borderId="19" xfId="1" applyFont="1" applyFill="1" applyBorder="1" applyAlignment="1">
      <alignment horizontal="center" wrapText="1"/>
    </xf>
    <xf numFmtId="0" fontId="15" fillId="0" borderId="28" xfId="0" applyFont="1" applyBorder="1" applyAlignment="1">
      <alignment horizontal="center" vertical="center" wrapText="1"/>
    </xf>
    <xf numFmtId="1" fontId="14" fillId="2" borderId="23" xfId="1" applyNumberFormat="1" applyFont="1" applyFill="1" applyBorder="1" applyAlignment="1">
      <alignment horizontal="center"/>
    </xf>
    <xf numFmtId="0" fontId="16" fillId="2" borderId="23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/>
    </xf>
    <xf numFmtId="165" fontId="16" fillId="2" borderId="22" xfId="1" applyNumberFormat="1" applyFont="1" applyFill="1" applyBorder="1" applyAlignment="1">
      <alignment horizontal="center"/>
    </xf>
    <xf numFmtId="165" fontId="16" fillId="3" borderId="22" xfId="1" applyNumberFormat="1" applyFont="1" applyFill="1" applyBorder="1" applyAlignment="1">
      <alignment horizontal="center"/>
    </xf>
    <xf numFmtId="2" fontId="14" fillId="2" borderId="22" xfId="1" applyNumberFormat="1" applyFont="1" applyFill="1" applyBorder="1" applyAlignment="1">
      <alignment horizontal="center"/>
    </xf>
    <xf numFmtId="2" fontId="14" fillId="2" borderId="29" xfId="1" applyNumberFormat="1" applyFont="1" applyFill="1" applyBorder="1" applyAlignment="1">
      <alignment horizontal="center"/>
    </xf>
    <xf numFmtId="2" fontId="14" fillId="2" borderId="24" xfId="1" applyNumberFormat="1" applyFont="1" applyFill="1" applyBorder="1" applyAlignment="1">
      <alignment horizontal="center"/>
    </xf>
    <xf numFmtId="0" fontId="14" fillId="2" borderId="22" xfId="1" applyFont="1" applyFill="1" applyBorder="1" applyAlignment="1">
      <alignment horizontal="center"/>
    </xf>
    <xf numFmtId="166" fontId="14" fillId="2" borderId="22" xfId="1" applyNumberFormat="1" applyFont="1" applyFill="1" applyBorder="1" applyAlignment="1">
      <alignment horizontal="center"/>
    </xf>
    <xf numFmtId="2" fontId="14" fillId="2" borderId="30" xfId="1" applyNumberFormat="1" applyFont="1" applyFill="1" applyBorder="1" applyAlignment="1">
      <alignment horizontal="center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4" fillId="2" borderId="29" xfId="1" applyFont="1" applyFill="1" applyBorder="1" applyAlignment="1">
      <alignment horizontal="center"/>
    </xf>
    <xf numFmtId="0" fontId="14" fillId="2" borderId="24" xfId="1" applyFont="1" applyFill="1" applyBorder="1" applyAlignment="1">
      <alignment horizontal="center"/>
    </xf>
    <xf numFmtId="0" fontId="16" fillId="2" borderId="29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/>
    </xf>
    <xf numFmtId="0" fontId="14" fillId="2" borderId="30" xfId="1" applyFont="1" applyFill="1" applyBorder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35" xfId="0" applyFont="1" applyFill="1" applyBorder="1"/>
    <xf numFmtId="0" fontId="16" fillId="2" borderId="24" xfId="1" quotePrefix="1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 wrapText="1"/>
    </xf>
    <xf numFmtId="0" fontId="11" fillId="2" borderId="38" xfId="0" applyFont="1" applyFill="1" applyBorder="1"/>
    <xf numFmtId="0" fontId="16" fillId="2" borderId="39" xfId="1" quotePrefix="1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 applyProtection="1">
      <alignment horizontal="center"/>
      <protection locked="0"/>
    </xf>
    <xf numFmtId="0" fontId="8" fillId="2" borderId="36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 applyProtection="1">
      <alignment horizontal="center"/>
      <protection locked="0"/>
    </xf>
    <xf numFmtId="0" fontId="8" fillId="2" borderId="35" xfId="0" applyFont="1" applyFill="1" applyBorder="1" applyAlignment="1">
      <alignment horizontal="center"/>
    </xf>
    <xf numFmtId="0" fontId="8" fillId="2" borderId="46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16" fillId="2" borderId="22" xfId="0" applyFont="1" applyFill="1" applyBorder="1" applyAlignment="1" applyProtection="1">
      <alignment horizontal="center"/>
      <protection locked="0"/>
    </xf>
    <xf numFmtId="0" fontId="7" fillId="2" borderId="24" xfId="0" applyFont="1" applyFill="1" applyBorder="1" applyAlignment="1" applyProtection="1">
      <alignment horizontal="center"/>
      <protection locked="0"/>
    </xf>
    <xf numFmtId="0" fontId="11" fillId="2" borderId="21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0" fontId="0" fillId="2" borderId="2" xfId="0" applyFill="1" applyBorder="1"/>
    <xf numFmtId="0" fontId="16" fillId="2" borderId="45" xfId="1" quotePrefix="1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/>
    </xf>
    <xf numFmtId="0" fontId="7" fillId="2" borderId="44" xfId="0" applyFont="1" applyFill="1" applyBorder="1"/>
    <xf numFmtId="0" fontId="18" fillId="2" borderId="20" xfId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6" fillId="2" borderId="18" xfId="1" applyFont="1" applyFill="1" applyBorder="1" applyAlignment="1">
      <alignment horizontal="left" vertical="center"/>
    </xf>
    <xf numFmtId="0" fontId="6" fillId="2" borderId="19" xfId="1" applyFont="1" applyFill="1" applyBorder="1" applyAlignment="1">
      <alignment horizontal="left" vertical="center"/>
    </xf>
    <xf numFmtId="0" fontId="6" fillId="2" borderId="20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6" fillId="2" borderId="12" xfId="1" applyFont="1" applyFill="1" applyBorder="1" applyAlignment="1">
      <alignment horizontal="left" vertical="center"/>
    </xf>
    <xf numFmtId="0" fontId="6" fillId="2" borderId="13" xfId="1" applyFont="1" applyFill="1" applyBorder="1" applyAlignment="1">
      <alignment horizontal="left" vertical="center"/>
    </xf>
    <xf numFmtId="0" fontId="6" fillId="2" borderId="14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6" fillId="2" borderId="16" xfId="1" applyFont="1" applyFill="1" applyBorder="1" applyAlignment="1">
      <alignment horizontal="left" vertical="center"/>
    </xf>
    <xf numFmtId="0" fontId="6" fillId="2" borderId="17" xfId="1" applyFont="1" applyFill="1" applyBorder="1" applyAlignment="1">
      <alignment horizontal="left" vertical="center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/>
    <xf numFmtId="0" fontId="7" fillId="2" borderId="14" xfId="0" applyFont="1" applyFill="1" applyBorder="1"/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7" fillId="2" borderId="27" xfId="0" applyFont="1" applyFill="1" applyBorder="1" applyAlignment="1" applyProtection="1">
      <alignment horizontal="center"/>
      <protection locked="0"/>
    </xf>
    <xf numFmtId="0" fontId="7" fillId="2" borderId="45" xfId="0" applyFont="1" applyFill="1" applyBorder="1" applyAlignment="1" applyProtection="1">
      <alignment horizontal="center"/>
      <protection locked="0"/>
    </xf>
    <xf numFmtId="0" fontId="7" fillId="2" borderId="47" xfId="0" applyFont="1" applyFill="1" applyBorder="1" applyAlignment="1" applyProtection="1">
      <alignment horizontal="center"/>
      <protection locked="0"/>
    </xf>
    <xf numFmtId="0" fontId="7" fillId="2" borderId="35" xfId="0" applyFont="1" applyFill="1" applyBorder="1" applyAlignment="1" applyProtection="1">
      <alignment horizontal="center"/>
      <protection locked="0"/>
    </xf>
    <xf numFmtId="164" fontId="7" fillId="2" borderId="24" xfId="0" applyNumberFormat="1" applyFont="1" applyFill="1" applyBorder="1" applyProtection="1">
      <protection locked="0"/>
    </xf>
    <xf numFmtId="0" fontId="7" fillId="2" borderId="36" xfId="0" applyFont="1" applyFill="1" applyBorder="1" applyAlignment="1" applyProtection="1">
      <alignment horizontal="center"/>
      <protection locked="0"/>
    </xf>
    <xf numFmtId="0" fontId="4" fillId="2" borderId="2" xfId="1" applyFont="1" applyFill="1" applyBorder="1" applyAlignment="1">
      <alignment horizontal="center"/>
    </xf>
    <xf numFmtId="0" fontId="7" fillId="2" borderId="27" xfId="0" applyFont="1" applyFill="1" applyBorder="1" applyAlignment="1" applyProtection="1">
      <protection locked="0"/>
    </xf>
    <xf numFmtId="0" fontId="7" fillId="2" borderId="45" xfId="0" applyFont="1" applyFill="1" applyBorder="1" applyAlignment="1" applyProtection="1">
      <protection locked="0"/>
    </xf>
    <xf numFmtId="0" fontId="7" fillId="2" borderId="47" xfId="0" applyFont="1" applyFill="1" applyBorder="1" applyAlignment="1" applyProtection="1">
      <protection locked="0"/>
    </xf>
    <xf numFmtId="0" fontId="7" fillId="2" borderId="48" xfId="0" applyFont="1" applyFill="1" applyBorder="1" applyAlignment="1" applyProtection="1">
      <alignment horizontal="center"/>
      <protection locked="0"/>
    </xf>
    <xf numFmtId="0" fontId="7" fillId="2" borderId="49" xfId="0" applyFont="1" applyFill="1" applyBorder="1" applyAlignment="1" applyProtection="1">
      <alignment horizontal="center"/>
      <protection locked="0"/>
    </xf>
    <xf numFmtId="0" fontId="7" fillId="2" borderId="50" xfId="0" applyFont="1" applyFill="1" applyBorder="1" applyAlignment="1" applyProtection="1">
      <alignment horizontal="center"/>
      <protection locked="0"/>
    </xf>
    <xf numFmtId="0" fontId="7" fillId="2" borderId="51" xfId="0" applyFont="1" applyFill="1" applyBorder="1" applyAlignment="1" applyProtection="1">
      <alignment horizontal="center"/>
      <protection locked="0"/>
    </xf>
    <xf numFmtId="0" fontId="7" fillId="2" borderId="16" xfId="0" applyFont="1" applyFill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2" borderId="52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20" fillId="3" borderId="0" xfId="0" applyFont="1" applyFill="1" applyAlignment="1">
      <alignment horizontal="center" vertical="center"/>
    </xf>
    <xf numFmtId="165" fontId="7" fillId="2" borderId="22" xfId="1" applyNumberFormat="1" applyFont="1" applyFill="1" applyBorder="1" applyAlignment="1">
      <alignment horizontal="center"/>
    </xf>
    <xf numFmtId="165" fontId="7" fillId="2" borderId="19" xfId="1" applyNumberFormat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21" fillId="2" borderId="23" xfId="1" applyFont="1" applyFill="1" applyBorder="1" applyAlignment="1">
      <alignment horizontal="center" vertical="center"/>
    </xf>
    <xf numFmtId="0" fontId="21" fillId="2" borderId="22" xfId="1" applyFont="1" applyFill="1" applyBorder="1" applyAlignment="1">
      <alignment horizontal="center" vertical="center"/>
    </xf>
    <xf numFmtId="0" fontId="21" fillId="2" borderId="20" xfId="1" applyFont="1" applyFill="1" applyBorder="1" applyAlignment="1">
      <alignment horizontal="center" vertical="center"/>
    </xf>
    <xf numFmtId="2" fontId="7" fillId="2" borderId="22" xfId="1" applyNumberFormat="1" applyFont="1" applyFill="1" applyBorder="1" applyAlignment="1">
      <alignment horizontal="center" vertical="center"/>
    </xf>
    <xf numFmtId="2" fontId="7" fillId="2" borderId="19" xfId="1" applyNumberFormat="1" applyFont="1" applyFill="1" applyBorder="1" applyAlignment="1">
      <alignment horizontal="center" vertical="center"/>
    </xf>
    <xf numFmtId="0" fontId="7" fillId="2" borderId="36" xfId="0" applyFont="1" applyFill="1" applyBorder="1" applyProtection="1">
      <protection locked="0"/>
    </xf>
    <xf numFmtId="164" fontId="7" fillId="2" borderId="24" xfId="0" applyNumberFormat="1" applyFont="1" applyFill="1" applyBorder="1" applyAlignment="1" applyProtection="1">
      <alignment horizontal="center"/>
      <protection locked="0"/>
    </xf>
    <xf numFmtId="165" fontId="7" fillId="2" borderId="24" xfId="1" applyNumberFormat="1" applyFont="1" applyFill="1" applyBorder="1" applyAlignment="1">
      <alignment horizontal="center"/>
    </xf>
    <xf numFmtId="0" fontId="7" fillId="2" borderId="13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53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2" fontId="7" fillId="2" borderId="13" xfId="1" applyNumberFormat="1" applyFont="1" applyFill="1" applyBorder="1" applyAlignment="1">
      <alignment horizontal="center" vertical="center"/>
    </xf>
    <xf numFmtId="2" fontId="7" fillId="2" borderId="54" xfId="1" applyNumberFormat="1" applyFont="1" applyFill="1" applyBorder="1" applyAlignment="1">
      <alignment horizontal="center" vertical="center"/>
    </xf>
    <xf numFmtId="0" fontId="7" fillId="2" borderId="55" xfId="1" applyFont="1" applyFill="1" applyBorder="1" applyAlignment="1">
      <alignment horizontal="center" vertical="center"/>
    </xf>
    <xf numFmtId="165" fontId="16" fillId="2" borderId="13" xfId="1" applyNumberFormat="1" applyFont="1" applyFill="1" applyBorder="1" applyAlignment="1">
      <alignment horizontal="center"/>
    </xf>
    <xf numFmtId="165" fontId="7" fillId="2" borderId="13" xfId="1" applyNumberFormat="1" applyFont="1" applyFill="1" applyBorder="1" applyAlignment="1">
      <alignment horizontal="center"/>
    </xf>
    <xf numFmtId="0" fontId="7" fillId="2" borderId="44" xfId="0" applyFont="1" applyFill="1" applyBorder="1" applyAlignment="1" applyProtection="1">
      <alignment horizontal="center"/>
      <protection locked="0"/>
    </xf>
    <xf numFmtId="165" fontId="18" fillId="2" borderId="22" xfId="0" applyNumberFormat="1" applyFont="1" applyFill="1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23" fillId="4" borderId="22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168" fontId="23" fillId="4" borderId="22" xfId="0" applyNumberFormat="1" applyFont="1" applyFill="1" applyBorder="1" applyAlignment="1">
      <alignment horizontal="center" vertical="center"/>
    </xf>
    <xf numFmtId="169" fontId="23" fillId="4" borderId="22" xfId="0" applyNumberFormat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 wrapText="1"/>
    </xf>
    <xf numFmtId="2" fontId="18" fillId="2" borderId="22" xfId="1" applyNumberFormat="1" applyFont="1" applyFill="1" applyBorder="1" applyAlignment="1">
      <alignment horizontal="center"/>
    </xf>
    <xf numFmtId="2" fontId="18" fillId="2" borderId="29" xfId="1" applyNumberFormat="1" applyFont="1" applyFill="1" applyBorder="1" applyAlignment="1">
      <alignment horizontal="center"/>
    </xf>
    <xf numFmtId="2" fontId="18" fillId="2" borderId="24" xfId="1" applyNumberFormat="1" applyFont="1" applyFill="1" applyBorder="1" applyAlignment="1">
      <alignment horizontal="center"/>
    </xf>
    <xf numFmtId="0" fontId="18" fillId="2" borderId="22" xfId="1" applyFont="1" applyFill="1" applyBorder="1" applyAlignment="1">
      <alignment horizontal="center"/>
    </xf>
    <xf numFmtId="166" fontId="18" fillId="2" borderId="22" xfId="1" applyNumberFormat="1" applyFont="1" applyFill="1" applyBorder="1" applyAlignment="1">
      <alignment horizontal="center"/>
    </xf>
    <xf numFmtId="17" fontId="7" fillId="2" borderId="56" xfId="1" applyNumberFormat="1" applyFont="1" applyFill="1" applyBorder="1" applyAlignment="1">
      <alignment horizontal="center" vertical="center" wrapText="1"/>
    </xf>
    <xf numFmtId="165" fontId="7" fillId="2" borderId="44" xfId="1" applyNumberFormat="1" applyFont="1" applyFill="1" applyBorder="1" applyAlignment="1">
      <alignment horizontal="center"/>
    </xf>
    <xf numFmtId="165" fontId="7" fillId="3" borderId="44" xfId="1" applyNumberFormat="1" applyFont="1" applyFill="1" applyBorder="1" applyAlignment="1">
      <alignment horizontal="center"/>
    </xf>
    <xf numFmtId="165" fontId="7" fillId="2" borderId="26" xfId="1" applyNumberFormat="1" applyFont="1" applyFill="1" applyBorder="1" applyAlignment="1">
      <alignment horizontal="center"/>
    </xf>
    <xf numFmtId="165" fontId="7" fillId="3" borderId="22" xfId="1" applyNumberFormat="1" applyFont="1" applyFill="1" applyBorder="1" applyAlignment="1">
      <alignment horizontal="center"/>
    </xf>
    <xf numFmtId="165" fontId="7" fillId="3" borderId="13" xfId="1" applyNumberFormat="1" applyFont="1" applyFill="1" applyBorder="1" applyAlignment="1">
      <alignment horizontal="center"/>
    </xf>
    <xf numFmtId="1" fontId="18" fillId="2" borderId="23" xfId="1" applyNumberFormat="1" applyFont="1" applyFill="1" applyBorder="1" applyAlignment="1">
      <alignment horizontal="center"/>
    </xf>
    <xf numFmtId="0" fontId="18" fillId="2" borderId="22" xfId="1" applyFont="1" applyFill="1" applyBorder="1" applyAlignment="1">
      <alignment horizontal="center" wrapText="1"/>
    </xf>
    <xf numFmtId="0" fontId="18" fillId="2" borderId="19" xfId="1" applyFont="1" applyFill="1" applyBorder="1" applyAlignment="1">
      <alignment horizontal="center" wrapText="1"/>
    </xf>
    <xf numFmtId="0" fontId="18" fillId="2" borderId="29" xfId="1" applyFont="1" applyFill="1" applyBorder="1" applyAlignment="1">
      <alignment horizontal="center"/>
    </xf>
    <xf numFmtId="0" fontId="18" fillId="2" borderId="24" xfId="1" applyFont="1" applyFill="1" applyBorder="1" applyAlignment="1">
      <alignment horizontal="center"/>
    </xf>
    <xf numFmtId="0" fontId="7" fillId="2" borderId="29" xfId="1" applyFont="1" applyFill="1" applyBorder="1" applyAlignment="1">
      <alignment horizontal="center" vertical="center"/>
    </xf>
    <xf numFmtId="0" fontId="7" fillId="2" borderId="24" xfId="1" quotePrefix="1" applyFont="1" applyFill="1" applyBorder="1" applyAlignment="1">
      <alignment horizontal="center" vertical="center"/>
    </xf>
    <xf numFmtId="0" fontId="7" fillId="2" borderId="45" xfId="1" quotePrefix="1" applyFont="1" applyFill="1" applyBorder="1" applyAlignment="1">
      <alignment horizontal="center" vertical="center"/>
    </xf>
    <xf numFmtId="14" fontId="19" fillId="3" borderId="28" xfId="0" applyNumberFormat="1" applyFont="1" applyFill="1" applyBorder="1" applyAlignment="1">
      <alignment horizontal="center" vertical="center"/>
    </xf>
    <xf numFmtId="14" fontId="19" fillId="0" borderId="28" xfId="0" applyNumberFormat="1" applyFont="1" applyBorder="1" applyAlignment="1">
      <alignment horizontal="center" vertical="center"/>
    </xf>
    <xf numFmtId="14" fontId="19" fillId="3" borderId="0" xfId="0" applyNumberFormat="1" applyFont="1" applyFill="1" applyAlignment="1">
      <alignment horizontal="center" vertical="center"/>
    </xf>
    <xf numFmtId="14" fontId="19" fillId="2" borderId="28" xfId="0" applyNumberFormat="1" applyFont="1" applyFill="1" applyBorder="1" applyAlignment="1">
      <alignment horizontal="center" vertical="center"/>
    </xf>
    <xf numFmtId="2" fontId="19" fillId="0" borderId="28" xfId="0" applyNumberFormat="1" applyFont="1" applyBorder="1" applyAlignment="1">
      <alignment horizontal="center" vertical="center"/>
    </xf>
    <xf numFmtId="17" fontId="19" fillId="0" borderId="28" xfId="0" applyNumberFormat="1" applyFont="1" applyBorder="1" applyAlignment="1">
      <alignment horizontal="center" vertical="center"/>
    </xf>
    <xf numFmtId="170" fontId="22" fillId="0" borderId="28" xfId="0" applyNumberFormat="1" applyFont="1" applyBorder="1" applyAlignment="1">
      <alignment horizontal="center" vertical="center"/>
    </xf>
    <xf numFmtId="165" fontId="7" fillId="2" borderId="22" xfId="1" applyNumberFormat="1" applyFont="1" applyFill="1" applyBorder="1" applyAlignment="1">
      <alignment horizontal="center" vertical="center"/>
    </xf>
    <xf numFmtId="14" fontId="17" fillId="0" borderId="57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3AA72501-039C-4B08-9AA8-5AF25094249A}"/>
    <cellStyle name="Normal 2 2" xfId="2" xr:uid="{19535432-51F6-49C5-989B-D678F463A34E}"/>
  </cellStyles>
  <dxfs count="60">
    <dxf>
      <font>
        <b val="0"/>
        <color indexed="16"/>
      </font>
      <fill>
        <patternFill patternType="solid">
          <bgColor indexed="45"/>
        </patternFill>
      </fill>
    </dxf>
    <dxf>
      <font>
        <color rgb="FF800000"/>
      </font>
      <fill>
        <patternFill patternType="solid">
          <fgColor rgb="FFFF99CC"/>
          <bgColor rgb="FFFF99CC"/>
        </patternFill>
      </fill>
    </dxf>
    <dxf>
      <font>
        <color rgb="FF800000"/>
      </font>
      <fill>
        <patternFill patternType="solid">
          <fgColor rgb="FFFF99CC"/>
          <bgColor rgb="FFFF99CC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660984</xdr:colOff>
      <xdr:row>0</xdr:row>
      <xdr:rowOff>666751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E06F9-5831-4C4A-9A65-803CCE96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3431" y="33705"/>
          <a:ext cx="4944304" cy="633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708660</xdr:colOff>
      <xdr:row>0</xdr:row>
      <xdr:rowOff>655320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43BBC-FB98-4882-8A1A-50E5E99F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02469" cy="621615"/>
        </a:xfrm>
        <a:prstGeom prst="rect">
          <a:avLst/>
        </a:prstGeom>
      </xdr:spPr>
    </xdr:pic>
    <xdr:clientData/>
  </xdr:twoCellAnchor>
  <xdr:twoCellAnchor editAs="oneCell">
    <xdr:from>
      <xdr:col>12</xdr:col>
      <xdr:colOff>41031</xdr:colOff>
      <xdr:row>0</xdr:row>
      <xdr:rowOff>33705</xdr:rowOff>
    </xdr:from>
    <xdr:to>
      <xdr:col>19</xdr:col>
      <xdr:colOff>660984</xdr:colOff>
      <xdr:row>0</xdr:row>
      <xdr:rowOff>666751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2EADFB-0305-4FA5-ADB8-48EA16E7D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0191" y="33705"/>
          <a:ext cx="5054793" cy="6330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708660</xdr:colOff>
      <xdr:row>0</xdr:row>
      <xdr:rowOff>655320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FBF51-4882-4FC5-B460-8F74FEBAE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02469" cy="6216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25791</xdr:colOff>
      <xdr:row>0</xdr:row>
      <xdr:rowOff>3225</xdr:rowOff>
    </xdr:from>
    <xdr:to>
      <xdr:col>19</xdr:col>
      <xdr:colOff>723900</xdr:colOff>
      <xdr:row>0</xdr:row>
      <xdr:rowOff>670560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E3F52-A829-4A1A-A2CF-8C5C0A9DD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471" y="3225"/>
          <a:ext cx="5132949" cy="667335"/>
        </a:xfrm>
        <a:prstGeom prst="rect">
          <a:avLst/>
        </a:prstGeom>
      </xdr:spPr>
    </xdr:pic>
    <xdr:clientData/>
  </xdr:twoCellAnchor>
  <xdr:twoCellAnchor editAs="oneCell">
    <xdr:from>
      <xdr:col>12</xdr:col>
      <xdr:colOff>41031</xdr:colOff>
      <xdr:row>0</xdr:row>
      <xdr:rowOff>33705</xdr:rowOff>
    </xdr:from>
    <xdr:to>
      <xdr:col>19</xdr:col>
      <xdr:colOff>708660</xdr:colOff>
      <xdr:row>0</xdr:row>
      <xdr:rowOff>655320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22EB4-986D-4CDC-A711-594021126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0191" y="33705"/>
          <a:ext cx="5102469" cy="621615"/>
        </a:xfrm>
        <a:prstGeom prst="rect">
          <a:avLst/>
        </a:prstGeom>
      </xdr:spPr>
    </xdr:pic>
    <xdr:clientData/>
  </xdr:twoCellAnchor>
  <xdr:twoCellAnchor editAs="oneCell">
    <xdr:from>
      <xdr:col>12</xdr:col>
      <xdr:colOff>41031</xdr:colOff>
      <xdr:row>0</xdr:row>
      <xdr:rowOff>33705</xdr:rowOff>
    </xdr:from>
    <xdr:to>
      <xdr:col>19</xdr:col>
      <xdr:colOff>660984</xdr:colOff>
      <xdr:row>0</xdr:row>
      <xdr:rowOff>666751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C392AD-17EC-4C8F-B654-61F4D1E4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0191" y="33705"/>
          <a:ext cx="5054793" cy="6330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693420</xdr:colOff>
      <xdr:row>0</xdr:row>
      <xdr:rowOff>670560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234E4-D8A3-42F2-B189-1C5D53256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087229" cy="636855"/>
        </a:xfrm>
        <a:prstGeom prst="rect">
          <a:avLst/>
        </a:prstGeom>
      </xdr:spPr>
    </xdr:pic>
    <xdr:clientData/>
  </xdr:twoCellAnchor>
  <xdr:twoCellAnchor editAs="oneCell">
    <xdr:from>
      <xdr:col>12</xdr:col>
      <xdr:colOff>41031</xdr:colOff>
      <xdr:row>0</xdr:row>
      <xdr:rowOff>33705</xdr:rowOff>
    </xdr:from>
    <xdr:to>
      <xdr:col>19</xdr:col>
      <xdr:colOff>708660</xdr:colOff>
      <xdr:row>0</xdr:row>
      <xdr:rowOff>655320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3914F7-54F6-48B4-AADB-47979F261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1131" y="33705"/>
          <a:ext cx="5102469" cy="6216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685800</xdr:colOff>
      <xdr:row>0</xdr:row>
      <xdr:rowOff>670560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57355-90D9-47B3-BCD2-1F6E822BC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10089" cy="6368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556260</xdr:colOff>
      <xdr:row>0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F1221-F90D-4893-AFCB-B1F5CE0F5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17709" cy="652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20</xdr:col>
      <xdr:colOff>0</xdr:colOff>
      <xdr:row>0</xdr:row>
      <xdr:rowOff>693420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4362A-59F8-4C78-934C-128523A4D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25329" cy="659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541020</xdr:colOff>
      <xdr:row>0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04E56-A4B9-4DE1-91E2-8407C3B2A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079609" cy="6520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20</xdr:col>
      <xdr:colOff>76200</xdr:colOff>
      <xdr:row>0</xdr:row>
      <xdr:rowOff>647700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31725-0294-48F4-B1A0-5E1859DDA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201529" cy="6139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20</xdr:col>
      <xdr:colOff>0</xdr:colOff>
      <xdr:row>0</xdr:row>
      <xdr:rowOff>693420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74905-4BA6-4E0D-91CF-AC3477AE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25329" cy="6597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708660</xdr:colOff>
      <xdr:row>1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89903-57D0-4B99-889B-D5F87A1E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02469" cy="6901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20</xdr:col>
      <xdr:colOff>7620</xdr:colOff>
      <xdr:row>0</xdr:row>
      <xdr:rowOff>678180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85782-9599-41CB-BFD9-ED5B9EB70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32949" cy="644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20</xdr:col>
      <xdr:colOff>0</xdr:colOff>
      <xdr:row>1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18805-4C9A-4C12-BB4D-8CD5D3CD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25329" cy="6825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716280</xdr:colOff>
      <xdr:row>0</xdr:row>
      <xdr:rowOff>678180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FC76B-7EFF-46CD-BDB0-81364C54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10089" cy="644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41031</xdr:colOff>
      <xdr:row>0</xdr:row>
      <xdr:rowOff>33705</xdr:rowOff>
    </xdr:from>
    <xdr:to>
      <xdr:col>19</xdr:col>
      <xdr:colOff>647700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785DE-0856-4901-8F27-2CFF4DC3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711" y="33705"/>
          <a:ext cx="5125329" cy="667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3F9F-466E-4DC4-A16E-AB81D6ADE183}">
  <sheetPr>
    <pageSetUpPr fitToPage="1"/>
  </sheetPr>
  <dimension ref="A1:U46"/>
  <sheetViews>
    <sheetView showGridLines="0" view="pageBreakPreview" topLeftCell="A9" zoomScaleNormal="100" zoomScaleSheetLayoutView="100" workbookViewId="0">
      <selection activeCell="F17" sqref="F17"/>
    </sheetView>
  </sheetViews>
  <sheetFormatPr defaultColWidth="9.109375" defaultRowHeight="14.4" x14ac:dyDescent="0.3"/>
  <cols>
    <col min="1" max="1" width="8.6640625" style="7" customWidth="1"/>
    <col min="2" max="2" width="10.5546875" style="7" customWidth="1"/>
    <col min="3" max="3" width="13" style="7" customWidth="1"/>
    <col min="4" max="4" width="11.88671875" style="7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10.44140625" style="7" customWidth="1"/>
    <col min="10" max="10" width="13" style="7" customWidth="1"/>
    <col min="11" max="11" width="12.6640625" style="7" customWidth="1"/>
    <col min="12" max="12" width="8.6640625" style="38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54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53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55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4">
      <c r="A10" s="36">
        <v>1</v>
      </c>
      <c r="B10" s="60">
        <v>45597</v>
      </c>
      <c r="C10" s="54">
        <v>17.940000000000001</v>
      </c>
      <c r="D10" s="56" t="s">
        <v>49</v>
      </c>
      <c r="E10" s="14">
        <f>1800/C10</f>
        <v>100.3344481605351</v>
      </c>
      <c r="F10" s="57">
        <v>400</v>
      </c>
      <c r="H10" s="36">
        <v>7</v>
      </c>
      <c r="I10" s="60">
        <v>46054</v>
      </c>
      <c r="J10" s="62">
        <v>7.43</v>
      </c>
      <c r="K10" s="68" t="s">
        <v>49</v>
      </c>
      <c r="L10" s="44">
        <f>900/J10</f>
        <v>121.13055181695829</v>
      </c>
      <c r="M10" s="65">
        <v>1010</v>
      </c>
      <c r="O10" s="36"/>
      <c r="P10" s="43"/>
      <c r="Q10" s="44"/>
      <c r="R10" s="44"/>
      <c r="S10" s="14" t="e">
        <f>3600/Q10</f>
        <v>#DIV/0!</v>
      </c>
      <c r="T10" s="47"/>
    </row>
    <row r="11" spans="1:21" ht="18" customHeight="1" x14ac:dyDescent="0.4">
      <c r="A11" s="36">
        <v>2</v>
      </c>
      <c r="B11" s="60">
        <v>45598</v>
      </c>
      <c r="C11" s="54">
        <v>21.46</v>
      </c>
      <c r="D11" s="56" t="s">
        <v>49</v>
      </c>
      <c r="E11" s="14">
        <f t="shared" ref="E11:E15" si="0">1800/C11</f>
        <v>83.87698042870457</v>
      </c>
      <c r="F11" s="57">
        <v>500</v>
      </c>
      <c r="H11" s="36">
        <v>8</v>
      </c>
      <c r="I11" s="60">
        <v>45413</v>
      </c>
      <c r="J11" s="63">
        <v>17.260000000000002</v>
      </c>
      <c r="K11" s="68" t="s">
        <v>49</v>
      </c>
      <c r="L11" s="44">
        <f t="shared" ref="L11:L25" si="1">900/J11</f>
        <v>52.143684820393972</v>
      </c>
      <c r="M11" s="73">
        <v>1820</v>
      </c>
      <c r="O11" s="36"/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x14ac:dyDescent="0.4">
      <c r="A12" s="36">
        <v>3</v>
      </c>
      <c r="B12" s="60">
        <v>45599</v>
      </c>
      <c r="C12" s="54">
        <v>19.71</v>
      </c>
      <c r="D12" s="56" t="s">
        <v>49</v>
      </c>
      <c r="E12" s="14">
        <f t="shared" si="0"/>
        <v>91.324200913242009</v>
      </c>
      <c r="F12" s="54">
        <v>580</v>
      </c>
      <c r="H12" s="36">
        <v>9</v>
      </c>
      <c r="I12" s="60">
        <v>45627</v>
      </c>
      <c r="J12" s="64">
        <v>18.809999999999999</v>
      </c>
      <c r="K12" s="69" t="s">
        <v>49</v>
      </c>
      <c r="L12" s="44">
        <f t="shared" si="1"/>
        <v>47.846889952153113</v>
      </c>
      <c r="M12" s="74">
        <v>2250</v>
      </c>
      <c r="O12" s="36"/>
      <c r="P12" s="43"/>
      <c r="Q12" s="44"/>
      <c r="R12" s="44"/>
      <c r="S12" s="14" t="e">
        <f t="shared" si="2"/>
        <v>#DIV/0!</v>
      </c>
      <c r="T12" s="47"/>
    </row>
    <row r="13" spans="1:21" ht="18" customHeight="1" x14ac:dyDescent="0.4">
      <c r="A13" s="36">
        <v>4</v>
      </c>
      <c r="B13" s="60">
        <v>45600</v>
      </c>
      <c r="C13" s="54">
        <v>19.8</v>
      </c>
      <c r="D13" s="56" t="s">
        <v>49</v>
      </c>
      <c r="E13" s="14">
        <f t="shared" si="0"/>
        <v>90.909090909090907</v>
      </c>
      <c r="F13" s="54">
        <v>520</v>
      </c>
      <c r="H13" s="36">
        <v>10</v>
      </c>
      <c r="I13" s="60"/>
      <c r="J13" s="62">
        <v>8.06</v>
      </c>
      <c r="K13" s="69" t="s">
        <v>56</v>
      </c>
      <c r="L13" s="44">
        <f t="shared" si="1"/>
        <v>111.66253101736972</v>
      </c>
      <c r="M13" s="76">
        <v>4620</v>
      </c>
      <c r="O13" s="36"/>
      <c r="P13" s="43"/>
      <c r="Q13" s="44"/>
      <c r="R13" s="44"/>
      <c r="S13" s="14" t="e">
        <f t="shared" si="2"/>
        <v>#DIV/0!</v>
      </c>
      <c r="T13" s="47"/>
    </row>
    <row r="14" spans="1:21" ht="18" customHeight="1" x14ac:dyDescent="0.4">
      <c r="A14" s="36">
        <v>5</v>
      </c>
      <c r="B14" s="61">
        <v>46054</v>
      </c>
      <c r="C14" s="54">
        <v>13.41</v>
      </c>
      <c r="D14" s="56" t="s">
        <v>49</v>
      </c>
      <c r="E14" s="14">
        <f t="shared" si="0"/>
        <v>134.2281879194631</v>
      </c>
      <c r="F14" s="58">
        <v>460</v>
      </c>
      <c r="H14" s="36">
        <v>11</v>
      </c>
      <c r="I14" s="60"/>
      <c r="J14" s="63">
        <v>9.06</v>
      </c>
      <c r="K14" s="69" t="s">
        <v>49</v>
      </c>
      <c r="L14" s="44">
        <f t="shared" si="1"/>
        <v>99.337748344370851</v>
      </c>
      <c r="M14" s="75">
        <v>1980</v>
      </c>
      <c r="O14" s="36"/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thickBot="1" x14ac:dyDescent="0.45">
      <c r="A15" s="36">
        <v>6</v>
      </c>
      <c r="B15" s="60">
        <v>45602</v>
      </c>
      <c r="C15" s="55">
        <v>19.059999999999999</v>
      </c>
      <c r="D15" s="56" t="s">
        <v>49</v>
      </c>
      <c r="E15" s="14">
        <f t="shared" si="0"/>
        <v>94.438614900314803</v>
      </c>
      <c r="F15" s="59">
        <v>510</v>
      </c>
      <c r="H15" s="36">
        <v>12</v>
      </c>
      <c r="I15" s="60">
        <v>45627</v>
      </c>
      <c r="J15" s="62">
        <v>14.81</v>
      </c>
      <c r="K15" s="56" t="s">
        <v>49</v>
      </c>
      <c r="L15" s="44">
        <f t="shared" si="1"/>
        <v>60.769750168804862</v>
      </c>
      <c r="M15" s="65">
        <v>3400</v>
      </c>
      <c r="O15" s="36"/>
      <c r="P15" s="43"/>
      <c r="Q15" s="44"/>
      <c r="R15" s="44"/>
      <c r="S15" s="14" t="e">
        <f t="shared" si="2"/>
        <v>#DIV/0!</v>
      </c>
      <c r="T15" s="47"/>
    </row>
    <row r="16" spans="1:21" ht="18" customHeight="1" x14ac:dyDescent="0.4">
      <c r="A16" s="36"/>
      <c r="B16" s="13"/>
      <c r="C16" s="14"/>
      <c r="D16" s="14"/>
      <c r="E16" s="14"/>
      <c r="F16" s="15"/>
      <c r="H16" s="36">
        <v>13</v>
      </c>
      <c r="I16" s="60">
        <v>45778</v>
      </c>
      <c r="J16" s="65">
        <v>6.81</v>
      </c>
      <c r="K16" s="70" t="s">
        <v>51</v>
      </c>
      <c r="L16" s="44">
        <f t="shared" si="1"/>
        <v>132.15859030837007</v>
      </c>
      <c r="M16" s="76">
        <v>10600</v>
      </c>
      <c r="O16" s="36"/>
      <c r="P16" s="43"/>
      <c r="Q16" s="44"/>
      <c r="R16" s="44"/>
      <c r="S16" s="14" t="e">
        <f t="shared" si="2"/>
        <v>#DIV/0!</v>
      </c>
      <c r="T16" s="47"/>
    </row>
    <row r="17" spans="1:20" ht="18" customHeight="1" x14ac:dyDescent="0.4">
      <c r="A17" s="36"/>
      <c r="B17" s="13"/>
      <c r="C17" s="14"/>
      <c r="D17" s="14"/>
      <c r="E17" s="14"/>
      <c r="F17" s="15"/>
      <c r="H17" s="36">
        <v>14</v>
      </c>
      <c r="I17" s="60">
        <v>45778</v>
      </c>
      <c r="J17" s="62">
        <v>12.41</v>
      </c>
      <c r="K17" s="70" t="s">
        <v>51</v>
      </c>
      <c r="L17" s="44">
        <f t="shared" si="1"/>
        <v>72.522159548751006</v>
      </c>
      <c r="M17" s="65">
        <v>7500</v>
      </c>
      <c r="O17" s="36"/>
      <c r="P17" s="43"/>
      <c r="Q17" s="44"/>
      <c r="R17" s="44"/>
      <c r="S17" s="14" t="e">
        <f t="shared" si="2"/>
        <v>#DIV/0!</v>
      </c>
      <c r="T17" s="47"/>
    </row>
    <row r="18" spans="1:20" ht="18" customHeight="1" x14ac:dyDescent="0.4">
      <c r="A18" s="36"/>
      <c r="B18" s="13"/>
      <c r="C18" s="14"/>
      <c r="D18" s="14"/>
      <c r="E18" s="14"/>
      <c r="F18" s="15"/>
      <c r="H18" s="36">
        <v>15</v>
      </c>
      <c r="I18" s="60">
        <v>45627</v>
      </c>
      <c r="J18" s="62">
        <v>14.3</v>
      </c>
      <c r="K18" s="70" t="s">
        <v>51</v>
      </c>
      <c r="L18" s="44">
        <f t="shared" si="1"/>
        <v>62.937062937062933</v>
      </c>
      <c r="M18" s="65">
        <v>4500</v>
      </c>
      <c r="O18" s="36"/>
      <c r="P18" s="43"/>
      <c r="Q18" s="44"/>
      <c r="R18" s="44"/>
      <c r="S18" s="14" t="e">
        <f t="shared" si="2"/>
        <v>#DIV/0!</v>
      </c>
      <c r="T18" s="47"/>
    </row>
    <row r="19" spans="1:20" ht="18" customHeight="1" x14ac:dyDescent="0.4">
      <c r="A19" s="36"/>
      <c r="B19" s="13"/>
      <c r="C19" s="14"/>
      <c r="D19" s="14"/>
      <c r="E19" s="14"/>
      <c r="F19" s="15"/>
      <c r="H19" s="36">
        <v>16</v>
      </c>
      <c r="I19" s="60">
        <v>45564</v>
      </c>
      <c r="J19" s="66">
        <v>13.98</v>
      </c>
      <c r="K19" s="56" t="s">
        <v>49</v>
      </c>
      <c r="L19" s="44">
        <f t="shared" si="1"/>
        <v>64.377682403433468</v>
      </c>
      <c r="M19" s="65">
        <v>1400</v>
      </c>
      <c r="O19" s="36"/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4">
      <c r="A20" s="36"/>
      <c r="B20" s="13"/>
      <c r="C20" s="14"/>
      <c r="D20" s="14"/>
      <c r="E20" s="14"/>
      <c r="F20" s="15"/>
      <c r="H20" s="36">
        <v>17</v>
      </c>
      <c r="I20" s="60">
        <v>45627</v>
      </c>
      <c r="J20" s="62">
        <v>13.45</v>
      </c>
      <c r="K20" s="56" t="s">
        <v>56</v>
      </c>
      <c r="L20" s="44">
        <f t="shared" si="1"/>
        <v>66.914498141263948</v>
      </c>
      <c r="M20" s="74">
        <v>3810</v>
      </c>
      <c r="O20" s="36"/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4">
      <c r="A21" s="36"/>
      <c r="B21" s="13"/>
      <c r="C21" s="14"/>
      <c r="D21" s="14"/>
      <c r="E21" s="14"/>
      <c r="F21" s="15"/>
      <c r="H21" s="36">
        <v>18</v>
      </c>
      <c r="I21" s="60">
        <v>45144</v>
      </c>
      <c r="J21" s="64">
        <v>11.55</v>
      </c>
      <c r="K21" s="70" t="s">
        <v>51</v>
      </c>
      <c r="L21" s="44">
        <f t="shared" si="1"/>
        <v>77.922077922077918</v>
      </c>
      <c r="M21" s="74">
        <v>3800</v>
      </c>
      <c r="O21" s="36"/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4">
      <c r="A22" s="36"/>
      <c r="B22" s="13"/>
      <c r="C22" s="14"/>
      <c r="D22" s="14"/>
      <c r="E22" s="14"/>
      <c r="F22" s="15"/>
      <c r="H22" s="36">
        <v>19</v>
      </c>
      <c r="I22" s="60">
        <v>45627</v>
      </c>
      <c r="J22" s="62">
        <v>10.77</v>
      </c>
      <c r="K22" s="70" t="s">
        <v>51</v>
      </c>
      <c r="L22" s="44">
        <f t="shared" si="1"/>
        <v>83.565459610027858</v>
      </c>
      <c r="M22" s="74">
        <v>5800</v>
      </c>
      <c r="O22" s="36"/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4">
      <c r="A23" s="36"/>
      <c r="B23" s="13"/>
      <c r="C23" s="14"/>
      <c r="D23" s="14"/>
      <c r="E23" s="14"/>
      <c r="F23" s="15"/>
      <c r="H23" s="36">
        <v>20</v>
      </c>
      <c r="I23" s="60">
        <v>45323</v>
      </c>
      <c r="J23" s="67">
        <v>13.81</v>
      </c>
      <c r="K23" s="71" t="s">
        <v>49</v>
      </c>
      <c r="L23" s="44">
        <f t="shared" si="1"/>
        <v>65.170166545981175</v>
      </c>
      <c r="M23" s="77">
        <v>2540</v>
      </c>
      <c r="O23" s="36"/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4">
      <c r="A24" s="36"/>
      <c r="B24" s="13"/>
      <c r="C24" s="14"/>
      <c r="D24" s="14"/>
      <c r="E24" s="14"/>
      <c r="F24" s="15"/>
      <c r="H24" s="36">
        <v>21</v>
      </c>
      <c r="I24" s="60">
        <v>45627</v>
      </c>
      <c r="J24" s="62">
        <v>10.8</v>
      </c>
      <c r="K24" s="70" t="s">
        <v>51</v>
      </c>
      <c r="L24" s="44">
        <f t="shared" si="1"/>
        <v>83.333333333333329</v>
      </c>
      <c r="M24" s="74">
        <v>5000</v>
      </c>
      <c r="O24" s="36"/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4">
      <c r="A25" s="36"/>
      <c r="B25" s="13"/>
      <c r="C25" s="14"/>
      <c r="D25" s="14"/>
      <c r="E25" s="14"/>
      <c r="F25" s="15"/>
      <c r="H25" s="36">
        <v>22</v>
      </c>
      <c r="I25" s="60">
        <v>45627</v>
      </c>
      <c r="J25" s="63">
        <v>13.5</v>
      </c>
      <c r="K25" s="72" t="s">
        <v>49</v>
      </c>
      <c r="L25" s="44">
        <f t="shared" si="1"/>
        <v>66.666666666666671</v>
      </c>
      <c r="M25" s="73">
        <v>2260</v>
      </c>
      <c r="O25" s="36"/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/>
      <c r="B26" s="13"/>
      <c r="C26" s="14"/>
      <c r="D26" s="14"/>
      <c r="E26" s="14"/>
      <c r="F26" s="15"/>
      <c r="H26" s="36"/>
      <c r="I26" s="13"/>
      <c r="J26" s="14"/>
      <c r="K26" s="14"/>
      <c r="L26" s="44"/>
      <c r="M26" s="15"/>
      <c r="O26" s="36"/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/>
      <c r="B27" s="13"/>
      <c r="C27" s="14"/>
      <c r="D27" s="14"/>
      <c r="E27" s="14"/>
      <c r="F27" s="15"/>
      <c r="H27" s="36"/>
      <c r="I27" s="13"/>
      <c r="J27" s="14"/>
      <c r="K27" s="14"/>
      <c r="L27" s="44"/>
      <c r="M27" s="15"/>
      <c r="O27" s="36"/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/>
      <c r="B28" s="13"/>
      <c r="C28" s="14"/>
      <c r="D28" s="14"/>
      <c r="E28" s="14"/>
      <c r="F28" s="15"/>
      <c r="H28" s="36"/>
      <c r="I28" s="13"/>
      <c r="J28" s="14"/>
      <c r="K28" s="14"/>
      <c r="L28" s="44"/>
      <c r="M28" s="15"/>
      <c r="O28" s="36"/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/>
      <c r="B29" s="13"/>
      <c r="C29" s="14"/>
      <c r="D29" s="14"/>
      <c r="E29" s="14"/>
      <c r="F29" s="15"/>
      <c r="H29" s="36"/>
      <c r="I29" s="13"/>
      <c r="J29" s="14"/>
      <c r="K29" s="14"/>
      <c r="L29" s="44"/>
      <c r="M29" s="15"/>
      <c r="O29" s="36"/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/>
      <c r="B30" s="13"/>
      <c r="C30" s="14"/>
      <c r="D30" s="14"/>
      <c r="E30" s="14"/>
      <c r="F30" s="15"/>
      <c r="H30" s="36"/>
      <c r="I30" s="13"/>
      <c r="J30" s="14"/>
      <c r="K30" s="14"/>
      <c r="L30" s="44"/>
      <c r="M30" s="15"/>
      <c r="O30" s="36"/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/>
      <c r="B31" s="13"/>
      <c r="C31" s="14"/>
      <c r="D31" s="14"/>
      <c r="E31" s="14"/>
      <c r="F31" s="15"/>
      <c r="H31" s="36"/>
      <c r="I31" s="13"/>
      <c r="J31" s="14"/>
      <c r="K31" s="14"/>
      <c r="L31" s="44"/>
      <c r="M31" s="15"/>
      <c r="O31" s="36"/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/>
      <c r="B32" s="16"/>
      <c r="C32" s="17"/>
      <c r="D32" s="17"/>
      <c r="E32" s="14"/>
      <c r="F32" s="18"/>
      <c r="H32" s="36"/>
      <c r="I32" s="16"/>
      <c r="J32" s="19"/>
      <c r="K32" s="19"/>
      <c r="L32" s="44"/>
      <c r="M32" s="18"/>
      <c r="O32" s="36"/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9">
        <f>SUM(E10:E15)</f>
        <v>595.11152323135047</v>
      </c>
      <c r="J33" s="139" t="s">
        <v>14</v>
      </c>
      <c r="K33" s="140"/>
      <c r="L33" s="83">
        <f>SUM(L10:L25)</f>
        <v>1268.4588535370192</v>
      </c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80">
        <f>IFERROR(ROUND(AVERAGE(E10:E32),0),"")</f>
        <v>99</v>
      </c>
      <c r="J34" s="143" t="s">
        <v>15</v>
      </c>
      <c r="K34" s="144"/>
      <c r="L34" s="80">
        <f>IFERROR(ROUND(AVERAGE(L10:L32),0),"")</f>
        <v>79</v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" customHeight="1" x14ac:dyDescent="0.3">
      <c r="A36" s="21"/>
      <c r="C36" s="145" t="s">
        <v>16</v>
      </c>
      <c r="D36" s="146"/>
      <c r="E36" s="147"/>
      <c r="H36" s="39" t="s">
        <v>17</v>
      </c>
      <c r="I36" s="51">
        <v>11600</v>
      </c>
      <c r="J36" s="22" t="s">
        <v>18</v>
      </c>
      <c r="L36" s="84"/>
      <c r="T36" s="8"/>
    </row>
    <row r="37" spans="1:20" ht="16.8" customHeight="1" x14ac:dyDescent="0.3">
      <c r="A37" s="24"/>
      <c r="C37" s="25" t="s">
        <v>19</v>
      </c>
      <c r="D37" s="76">
        <v>2.2000000000000002</v>
      </c>
      <c r="E37" s="26" t="s">
        <v>20</v>
      </c>
      <c r="H37" s="40" t="s">
        <v>21</v>
      </c>
      <c r="I37" s="44">
        <v>3100</v>
      </c>
      <c r="J37" s="27" t="s">
        <v>18</v>
      </c>
      <c r="L37" s="85"/>
      <c r="T37" s="8"/>
    </row>
    <row r="38" spans="1:20" ht="21" x14ac:dyDescent="0.3">
      <c r="A38" s="6"/>
      <c r="C38" s="25" t="s">
        <v>52</v>
      </c>
      <c r="D38" s="76">
        <v>4.01</v>
      </c>
      <c r="E38" s="26" t="s">
        <v>20</v>
      </c>
      <c r="H38" s="40" t="s">
        <v>23</v>
      </c>
      <c r="I38" s="44">
        <v>7.1</v>
      </c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76">
        <v>3.8</v>
      </c>
      <c r="E39" s="26" t="s">
        <v>20</v>
      </c>
      <c r="H39" s="40" t="s">
        <v>26</v>
      </c>
      <c r="I39" s="44">
        <v>38.4</v>
      </c>
      <c r="J39" s="27" t="s">
        <v>27</v>
      </c>
      <c r="T39" s="8"/>
    </row>
    <row r="40" spans="1:20" ht="13.8" customHeight="1" x14ac:dyDescent="0.3">
      <c r="A40" s="6"/>
      <c r="C40" s="25" t="s">
        <v>25</v>
      </c>
      <c r="D40" s="76">
        <v>3.2</v>
      </c>
      <c r="E40" s="26" t="s">
        <v>20</v>
      </c>
      <c r="H40" s="40" t="s">
        <v>29</v>
      </c>
      <c r="I40" s="44">
        <v>595</v>
      </c>
      <c r="J40" s="27" t="s">
        <v>30</v>
      </c>
      <c r="T40" s="8"/>
    </row>
    <row r="41" spans="1:20" ht="13.2" customHeight="1" x14ac:dyDescent="0.3">
      <c r="A41" s="6"/>
      <c r="C41" s="25" t="s">
        <v>28</v>
      </c>
      <c r="D41" s="76">
        <v>52</v>
      </c>
      <c r="E41" s="26" t="s">
        <v>20</v>
      </c>
      <c r="H41" s="40" t="s">
        <v>32</v>
      </c>
      <c r="I41" s="44">
        <v>1268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3.2" customHeight="1" x14ac:dyDescent="0.3">
      <c r="A42" s="6"/>
      <c r="C42" s="25" t="s">
        <v>31</v>
      </c>
      <c r="D42" s="76">
        <v>56</v>
      </c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3.2" customHeight="1" x14ac:dyDescent="0.3">
      <c r="A43" s="6"/>
      <c r="C43" s="25" t="s">
        <v>36</v>
      </c>
      <c r="D43" s="76">
        <v>50</v>
      </c>
      <c r="E43" s="26" t="s">
        <v>20</v>
      </c>
      <c r="H43" s="40" t="s">
        <v>37</v>
      </c>
      <c r="I43" s="44">
        <v>1863</v>
      </c>
      <c r="J43" s="27" t="s">
        <v>30</v>
      </c>
      <c r="T43" s="8"/>
    </row>
    <row r="44" spans="1:20" ht="16.2" customHeight="1" thickBot="1" x14ac:dyDescent="0.35">
      <c r="A44" s="6"/>
      <c r="C44" s="86" t="s">
        <v>41</v>
      </c>
      <c r="D44" s="87">
        <v>0</v>
      </c>
      <c r="E44" s="88" t="s">
        <v>20</v>
      </c>
      <c r="H44" s="97" t="s">
        <v>42</v>
      </c>
      <c r="I44" s="44">
        <v>15300</v>
      </c>
      <c r="J44" s="93" t="s">
        <v>18</v>
      </c>
      <c r="T44" s="8"/>
    </row>
    <row r="45" spans="1:20" ht="15.6" customHeight="1" thickBot="1" x14ac:dyDescent="0.35">
      <c r="A45" s="31"/>
      <c r="B45" s="32"/>
      <c r="C45" s="89" t="s">
        <v>43</v>
      </c>
      <c r="D45" s="90">
        <v>0</v>
      </c>
      <c r="E45" s="91" t="s">
        <v>20</v>
      </c>
      <c r="H45" s="99" t="s">
        <v>44</v>
      </c>
      <c r="I45" s="96">
        <v>4.8</v>
      </c>
      <c r="J45" s="94" t="s">
        <v>45</v>
      </c>
    </row>
    <row r="46" spans="1:20" ht="15" thickBot="1" x14ac:dyDescent="0.35">
      <c r="H46" s="98" t="s">
        <v>46</v>
      </c>
      <c r="I46" s="92">
        <v>1.863</v>
      </c>
      <c r="J46" s="95" t="s">
        <v>45</v>
      </c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conditionalFormatting sqref="F10:F11 F15">
    <cfRule type="cellIs" dxfId="59" priority="22" operator="greaterThan">
      <formula>2000</formula>
    </cfRule>
  </conditionalFormatting>
  <conditionalFormatting sqref="F14">
    <cfRule type="cellIs" dxfId="58" priority="19" operator="greaterThan">
      <formula>2499</formula>
    </cfRule>
    <cfRule type="cellIs" dxfId="57" priority="20" operator="equal">
      <formula>2000</formula>
    </cfRule>
    <cfRule type="cellIs" dxfId="56" priority="21" stopIfTrue="1" operator="greaterThan">
      <formula>3500</formula>
    </cfRule>
  </conditionalFormatting>
  <conditionalFormatting sqref="M13:M14">
    <cfRule type="cellIs" dxfId="55" priority="1" operator="greaterThan">
      <formula>2499</formula>
    </cfRule>
    <cfRule type="cellIs" dxfId="54" priority="2" operator="equal">
      <formula>2000</formula>
    </cfRule>
    <cfRule type="cellIs" dxfId="53" priority="3" stopIfTrue="1" operator="greaterThan">
      <formula>3500</formula>
    </cfRule>
  </conditionalFormatting>
  <conditionalFormatting sqref="M16">
    <cfRule type="cellIs" dxfId="52" priority="10" operator="greaterThan">
      <formula>2499</formula>
    </cfRule>
    <cfRule type="cellIs" dxfId="51" priority="11" operator="equal">
      <formula>2000</formula>
    </cfRule>
    <cfRule type="cellIs" dxfId="50" priority="12" stopIfTrue="1" operator="greaterThan">
      <formula>3500</formula>
    </cfRule>
  </conditionalFormatting>
  <conditionalFormatting sqref="M17:M22">
    <cfRule type="cellIs" dxfId="49" priority="13" operator="greaterThan">
      <formula>2500</formula>
    </cfRule>
    <cfRule type="cellIs" dxfId="48" priority="14" operator="greaterThan">
      <formula>2685</formula>
    </cfRule>
    <cfRule type="cellIs" dxfId="47" priority="15" operator="greaterThan">
      <formula>5000</formula>
    </cfRule>
  </conditionalFormatting>
  <conditionalFormatting sqref="M24">
    <cfRule type="cellIs" dxfId="46" priority="4" operator="greaterThan">
      <formula>2500</formula>
    </cfRule>
    <cfRule type="cellIs" dxfId="45" priority="5" operator="greaterThan">
      <formula>2685</formula>
    </cfRule>
    <cfRule type="cellIs" dxfId="44" priority="6" operator="greaterThan">
      <formula>5000</formula>
    </cfRule>
  </conditionalFormatting>
  <dataValidations count="9">
    <dataValidation type="whole" operator="greaterThanOrEqual" showErrorMessage="1" errorTitle="Plant SR No" error="Plant SR No must be a whole number &gt;= 1." sqref="C4" xr:uid="{6191C08D-8C1C-4A60-8127-E63420AF4B7F}">
      <formula1>1</formula1>
    </dataValidation>
    <dataValidation type="decimal" operator="greaterThanOrEqual" allowBlank="1" showErrorMessage="1" errorTitle="Value" error="Value must be a number &gt;= 0." sqref="I36:I46 D37:D45" xr:uid="{1DD1333F-34B2-472D-B282-454F8A234675}">
      <formula1>0</formula1>
    </dataValidation>
    <dataValidation type="decimal" allowBlank="1" showErrorMessage="1" errorTitle="Conductivity" error="Conductivity must be 0..50000 us/cm." sqref="F10:F32 T10:T32 M10:M32" xr:uid="{CACF2EB2-D980-434C-81C3-987B2A249DFE}">
      <formula1>0</formula1>
      <formula2>50000</formula2>
    </dataValidation>
    <dataValidation type="decimal" operator="greaterThanOrEqual" allowBlank="1" showErrorMessage="1" errorTitle="Flow" error="Flow must be a number &gt;= 0." sqref="C10:C32 E10:E32 J10:J32 S10:S32 Q10:Q32 L10:L32" xr:uid="{6056882E-7997-43E0-961E-60037697B3EF}">
      <formula1>0</formula1>
    </dataValidation>
    <dataValidation type="date" operator="greaterThan" allowBlank="1" showErrorMessage="1" errorTitle="Date" error="Enter a real date." sqref="B10:B32 I3 I10:I32 P10:P32" xr:uid="{646392BA-DC80-4464-86B5-3E588F40A6CD}">
      <formula1>DATE(2000,1,1)</formula1>
    </dataValidation>
    <dataValidation type="whole" operator="greaterThanOrEqual" allowBlank="1" showErrorMessage="1" errorTitle="Module no." error="Module number must be a whole number &gt;= 1." sqref="A10:A32 O10:O32 H10:H32" xr:uid="{4803953F-8C1C-45A4-A128-A3ADBC760CDA}">
      <formula1>1</formula1>
    </dataValidation>
    <dataValidation type="list" allowBlank="1" sqref="D10:D32 K10:K32 R10:R32" xr:uid="{AD2CD182-C483-4C38-9DA3-E1B7E9857D5D}">
      <formula1>"Non Colour,Colour"</formula1>
    </dataValidation>
    <dataValidation type="list" showErrorMessage="1" errorTitle="Zone" error="Pick a zone from the list." sqref="C5" xr:uid="{E51A24FB-DF31-46B2-88B1-6DE3D82CEAB2}">
      <formula1>"Ahmedabad,Vadodara,Ankleshwar,Panoli,Jhagadia,Dahej,Vapi"</formula1>
    </dataValidation>
    <dataValidation type="list" allowBlank="1" showErrorMessage="1" errorTitle="Stage" error="Pick the stage from the list." sqref="A8 H8 O8" xr:uid="{836ADDAC-4399-4654-AD60-2EB6120440B3}">
      <formula1>"I STAGE,II STAGE,III STAGE,IV STAGE"</formula1>
    </dataValidation>
  </dataValidations>
  <printOptions horizontalCentered="1"/>
  <pageMargins left="0.17" right="7.874015748031496E-2" top="7.874015748031496E-2" bottom="0.22" header="7.874015748031496E-2" footer="7.874015748031496E-2"/>
  <pageSetup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0DE8-A918-44E3-A4EA-FC1637A00E9E}">
  <dimension ref="A1:U47"/>
  <sheetViews>
    <sheetView topLeftCell="A5" workbookViewId="0">
      <selection activeCell="P15" sqref="P15"/>
    </sheetView>
  </sheetViews>
  <sheetFormatPr defaultColWidth="9.109375" defaultRowHeight="14.4" x14ac:dyDescent="0.3"/>
  <cols>
    <col min="1" max="1" width="8.6640625" style="6" customWidth="1"/>
    <col min="2" max="2" width="10.5546875" style="7" customWidth="1"/>
    <col min="3" max="3" width="13" style="38" customWidth="1"/>
    <col min="4" max="4" width="11.88671875" style="7" customWidth="1"/>
    <col min="5" max="5" width="8.6640625" style="7" customWidth="1"/>
    <col min="6" max="6" width="10.6640625" style="38" customWidth="1"/>
    <col min="7" max="7" width="2" style="7" customWidth="1"/>
    <col min="8" max="8" width="14" style="38" customWidth="1"/>
    <col min="9" max="9" width="10.44140625" style="7" customWidth="1"/>
    <col min="10" max="10" width="13" style="7" customWidth="1"/>
    <col min="11" max="11" width="12.6640625" style="7" customWidth="1"/>
    <col min="12" max="12" width="8.6640625" style="38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104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54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57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55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55</v>
      </c>
      <c r="R9" s="11" t="s">
        <v>11</v>
      </c>
      <c r="S9" s="11" t="s">
        <v>12</v>
      </c>
      <c r="T9" s="12" t="s">
        <v>13</v>
      </c>
    </row>
    <row r="10" spans="1:21" ht="18" customHeight="1" x14ac:dyDescent="0.4">
      <c r="A10" s="36">
        <v>1</v>
      </c>
      <c r="B10" s="170">
        <v>45554</v>
      </c>
      <c r="C10" s="54">
        <v>9.81</v>
      </c>
      <c r="D10" s="56" t="s">
        <v>49</v>
      </c>
      <c r="E10" s="14">
        <f>1800/C10</f>
        <v>183.48623853211009</v>
      </c>
      <c r="F10" s="57">
        <v>710</v>
      </c>
      <c r="H10" s="36">
        <v>15</v>
      </c>
      <c r="I10" s="201"/>
      <c r="J10" s="202">
        <v>6.98</v>
      </c>
      <c r="K10" s="68" t="s">
        <v>49</v>
      </c>
      <c r="L10" s="44">
        <f>900/J10</f>
        <v>128.9398280802292</v>
      </c>
      <c r="M10" s="65">
        <v>510</v>
      </c>
      <c r="O10" s="36">
        <v>28</v>
      </c>
      <c r="P10" s="207">
        <v>45536</v>
      </c>
      <c r="Q10" s="44">
        <v>9.59</v>
      </c>
      <c r="R10" s="68" t="s">
        <v>49</v>
      </c>
      <c r="S10" s="44">
        <f>900/Q10</f>
        <v>93.847758081334732</v>
      </c>
      <c r="T10" s="47">
        <v>590</v>
      </c>
    </row>
    <row r="11" spans="1:21" ht="18" customHeight="1" x14ac:dyDescent="0.4">
      <c r="A11" s="36">
        <v>2</v>
      </c>
      <c r="B11" s="170">
        <v>45555</v>
      </c>
      <c r="C11" s="54">
        <v>9.31</v>
      </c>
      <c r="D11" s="56" t="s">
        <v>49</v>
      </c>
      <c r="E11" s="14">
        <f t="shared" ref="E11:E23" si="0">1800/C11</f>
        <v>193.34049409237377</v>
      </c>
      <c r="F11" s="57">
        <v>240</v>
      </c>
      <c r="H11" s="36">
        <v>16</v>
      </c>
      <c r="I11" s="170">
        <v>44198</v>
      </c>
      <c r="J11" s="203">
        <v>7.25</v>
      </c>
      <c r="K11" s="68" t="s">
        <v>49</v>
      </c>
      <c r="L11" s="44">
        <f t="shared" ref="L11:L22" si="1">900/J11</f>
        <v>124.13793103448276</v>
      </c>
      <c r="M11" s="73">
        <v>680</v>
      </c>
      <c r="O11" s="36">
        <v>29</v>
      </c>
      <c r="P11" s="208"/>
      <c r="Q11" s="44">
        <v>6.05</v>
      </c>
      <c r="R11" s="68" t="s">
        <v>49</v>
      </c>
      <c r="S11" s="44">
        <f t="shared" ref="S11:S22" si="2">900/Q11</f>
        <v>148.7603305785124</v>
      </c>
      <c r="T11" s="47">
        <v>1020</v>
      </c>
    </row>
    <row r="12" spans="1:21" ht="18" customHeight="1" x14ac:dyDescent="0.4">
      <c r="A12" s="36">
        <v>3</v>
      </c>
      <c r="B12" s="170"/>
      <c r="C12" s="54">
        <v>9.01</v>
      </c>
      <c r="D12" s="56" t="s">
        <v>49</v>
      </c>
      <c r="E12" s="14">
        <f t="shared" si="0"/>
        <v>199.7780244173141</v>
      </c>
      <c r="F12" s="54">
        <v>220</v>
      </c>
      <c r="H12" s="36">
        <v>17</v>
      </c>
      <c r="I12" s="170">
        <v>45261</v>
      </c>
      <c r="J12" s="204">
        <v>7.78</v>
      </c>
      <c r="K12" s="69" t="s">
        <v>49</v>
      </c>
      <c r="L12" s="44">
        <f t="shared" si="1"/>
        <v>115.68123393316195</v>
      </c>
      <c r="M12" s="74">
        <v>620</v>
      </c>
      <c r="O12" s="36">
        <v>30</v>
      </c>
      <c r="P12" s="208"/>
      <c r="Q12" s="44">
        <v>12.15</v>
      </c>
      <c r="R12" s="68" t="s">
        <v>49</v>
      </c>
      <c r="S12" s="44">
        <f t="shared" si="2"/>
        <v>74.074074074074076</v>
      </c>
      <c r="T12" s="47">
        <v>2100</v>
      </c>
    </row>
    <row r="13" spans="1:21" ht="18" customHeight="1" x14ac:dyDescent="0.4">
      <c r="A13" s="36">
        <v>4</v>
      </c>
      <c r="B13" s="170"/>
      <c r="C13" s="54">
        <v>9.6999999999999993</v>
      </c>
      <c r="D13" s="56" t="s">
        <v>49</v>
      </c>
      <c r="E13" s="14">
        <f t="shared" si="0"/>
        <v>185.56701030927837</v>
      </c>
      <c r="F13" s="54">
        <v>750</v>
      </c>
      <c r="H13" s="36">
        <v>18</v>
      </c>
      <c r="I13" s="170">
        <v>44198</v>
      </c>
      <c r="J13" s="202">
        <v>7.33</v>
      </c>
      <c r="K13" s="69" t="s">
        <v>56</v>
      </c>
      <c r="L13" s="44">
        <f t="shared" si="1"/>
        <v>122.78308321964529</v>
      </c>
      <c r="M13" s="76">
        <v>460</v>
      </c>
      <c r="O13" s="36">
        <v>31</v>
      </c>
      <c r="P13" s="208"/>
      <c r="Q13" s="44">
        <v>17.489999999999998</v>
      </c>
      <c r="R13" s="68" t="s">
        <v>49</v>
      </c>
      <c r="S13" s="44">
        <f t="shared" si="2"/>
        <v>51.45797598627788</v>
      </c>
      <c r="T13" s="47">
        <v>3200</v>
      </c>
    </row>
    <row r="14" spans="1:21" ht="18" customHeight="1" x14ac:dyDescent="0.4">
      <c r="A14" s="36">
        <v>5</v>
      </c>
      <c r="B14" s="170">
        <v>45536</v>
      </c>
      <c r="C14" s="54">
        <v>10.06</v>
      </c>
      <c r="D14" s="56" t="s">
        <v>49</v>
      </c>
      <c r="E14" s="14">
        <f t="shared" si="0"/>
        <v>178.92644135188866</v>
      </c>
      <c r="F14" s="58">
        <v>650</v>
      </c>
      <c r="H14" s="36">
        <v>19</v>
      </c>
      <c r="I14" s="170">
        <v>45261</v>
      </c>
      <c r="J14" s="203">
        <v>6.15</v>
      </c>
      <c r="K14" s="69" t="s">
        <v>49</v>
      </c>
      <c r="L14" s="44">
        <f t="shared" si="1"/>
        <v>146.34146341463415</v>
      </c>
      <c r="M14" s="75">
        <v>600</v>
      </c>
      <c r="O14" s="36">
        <v>32</v>
      </c>
      <c r="P14" s="208">
        <v>45536</v>
      </c>
      <c r="Q14" s="44">
        <v>7.1</v>
      </c>
      <c r="R14" s="68" t="s">
        <v>49</v>
      </c>
      <c r="S14" s="44">
        <f t="shared" si="2"/>
        <v>126.7605633802817</v>
      </c>
      <c r="T14" s="47">
        <v>2305</v>
      </c>
      <c r="U14" s="108"/>
    </row>
    <row r="15" spans="1:21" ht="18" customHeight="1" thickBot="1" x14ac:dyDescent="0.45">
      <c r="A15" s="36">
        <v>6</v>
      </c>
      <c r="B15" s="170"/>
      <c r="C15" s="55">
        <v>10.18</v>
      </c>
      <c r="D15" s="56" t="s">
        <v>49</v>
      </c>
      <c r="E15" s="14">
        <f t="shared" si="0"/>
        <v>176.81728880157172</v>
      </c>
      <c r="F15" s="59">
        <v>1020</v>
      </c>
      <c r="H15" s="36">
        <v>20</v>
      </c>
      <c r="I15" s="170">
        <v>45261</v>
      </c>
      <c r="J15" s="202">
        <v>6.9</v>
      </c>
      <c r="K15" s="56" t="s">
        <v>49</v>
      </c>
      <c r="L15" s="44">
        <f t="shared" si="1"/>
        <v>130.43478260869566</v>
      </c>
      <c r="M15" s="65">
        <v>900</v>
      </c>
      <c r="O15" s="36">
        <v>33</v>
      </c>
      <c r="P15" s="208">
        <v>45537</v>
      </c>
      <c r="Q15" s="44">
        <v>7.53</v>
      </c>
      <c r="R15" s="68" t="s">
        <v>49</v>
      </c>
      <c r="S15" s="44">
        <f t="shared" si="2"/>
        <v>119.5219123505976</v>
      </c>
      <c r="T15" s="47">
        <v>1010</v>
      </c>
    </row>
    <row r="16" spans="1:21" ht="18" customHeight="1" thickBot="1" x14ac:dyDescent="0.45">
      <c r="A16" s="36">
        <v>7</v>
      </c>
      <c r="B16" s="170">
        <v>45536</v>
      </c>
      <c r="C16" s="100">
        <v>9.9</v>
      </c>
      <c r="D16" s="56" t="s">
        <v>49</v>
      </c>
      <c r="E16" s="14">
        <f t="shared" si="0"/>
        <v>181.81818181818181</v>
      </c>
      <c r="F16" s="59">
        <v>640</v>
      </c>
      <c r="H16" s="36">
        <v>21</v>
      </c>
      <c r="I16" s="170">
        <v>45261</v>
      </c>
      <c r="J16" s="205">
        <v>8.35</v>
      </c>
      <c r="K16" s="70" t="s">
        <v>51</v>
      </c>
      <c r="L16" s="44">
        <f t="shared" si="1"/>
        <v>107.78443113772455</v>
      </c>
      <c r="M16" s="76">
        <v>670</v>
      </c>
      <c r="O16" s="36">
        <v>34</v>
      </c>
      <c r="P16" s="208">
        <v>45538</v>
      </c>
      <c r="Q16" s="44">
        <v>8.4600000000000009</v>
      </c>
      <c r="R16" s="68" t="s">
        <v>49</v>
      </c>
      <c r="S16" s="44">
        <f t="shared" si="2"/>
        <v>106.38297872340425</v>
      </c>
      <c r="T16" s="47">
        <v>1550</v>
      </c>
    </row>
    <row r="17" spans="1:20" ht="18" customHeight="1" thickBot="1" x14ac:dyDescent="0.45">
      <c r="A17" s="36">
        <v>8</v>
      </c>
      <c r="B17" s="170">
        <v>45536</v>
      </c>
      <c r="C17" s="100">
        <v>9.86</v>
      </c>
      <c r="D17" s="56" t="s">
        <v>49</v>
      </c>
      <c r="E17" s="14">
        <f t="shared" si="0"/>
        <v>182.55578093306289</v>
      </c>
      <c r="F17" s="59">
        <v>610</v>
      </c>
      <c r="H17" s="36">
        <v>22</v>
      </c>
      <c r="I17" s="170">
        <v>45261</v>
      </c>
      <c r="J17" s="202">
        <v>9.9700000000000006</v>
      </c>
      <c r="K17" s="70" t="s">
        <v>51</v>
      </c>
      <c r="L17" s="44">
        <f t="shared" si="1"/>
        <v>90.270812437311932</v>
      </c>
      <c r="M17" s="65">
        <v>400</v>
      </c>
      <c r="O17" s="36">
        <v>35</v>
      </c>
      <c r="P17" s="208">
        <v>45539</v>
      </c>
      <c r="Q17" s="44">
        <v>7.15</v>
      </c>
      <c r="R17" s="68" t="s">
        <v>49</v>
      </c>
      <c r="S17" s="44">
        <f t="shared" si="2"/>
        <v>125.87412587412587</v>
      </c>
      <c r="T17" s="47">
        <v>430</v>
      </c>
    </row>
    <row r="18" spans="1:20" ht="18" customHeight="1" thickBot="1" x14ac:dyDescent="0.45">
      <c r="A18" s="36">
        <v>9</v>
      </c>
      <c r="B18" s="170"/>
      <c r="C18" s="100">
        <v>10.45</v>
      </c>
      <c r="D18" s="56" t="s">
        <v>49</v>
      </c>
      <c r="E18" s="14">
        <f t="shared" si="0"/>
        <v>172.2488038277512</v>
      </c>
      <c r="F18" s="59">
        <v>230</v>
      </c>
      <c r="H18" s="36">
        <v>23</v>
      </c>
      <c r="I18" s="170">
        <v>45259</v>
      </c>
      <c r="J18" s="202">
        <v>6.86</v>
      </c>
      <c r="K18" s="70" t="s">
        <v>51</v>
      </c>
      <c r="L18" s="44">
        <f t="shared" si="1"/>
        <v>131.19533527696791</v>
      </c>
      <c r="M18" s="65">
        <v>630</v>
      </c>
      <c r="O18" s="36">
        <v>36</v>
      </c>
      <c r="P18" s="208"/>
      <c r="Q18" s="44">
        <v>8</v>
      </c>
      <c r="R18" s="68" t="s">
        <v>49</v>
      </c>
      <c r="S18" s="44">
        <f t="shared" si="2"/>
        <v>112.5</v>
      </c>
      <c r="T18" s="47">
        <v>470</v>
      </c>
    </row>
    <row r="19" spans="1:20" ht="18" customHeight="1" thickBot="1" x14ac:dyDescent="0.45">
      <c r="A19" s="36">
        <v>10</v>
      </c>
      <c r="B19" s="170">
        <v>45262</v>
      </c>
      <c r="C19" s="100">
        <v>9.7010000000000005</v>
      </c>
      <c r="D19" s="56" t="s">
        <v>49</v>
      </c>
      <c r="E19" s="14">
        <f t="shared" si="0"/>
        <v>185.54788166168436</v>
      </c>
      <c r="F19" s="59">
        <v>670</v>
      </c>
      <c r="H19" s="36">
        <v>24</v>
      </c>
      <c r="I19" s="170">
        <v>44198</v>
      </c>
      <c r="J19" s="206">
        <v>7.65</v>
      </c>
      <c r="K19" s="56" t="s">
        <v>49</v>
      </c>
      <c r="L19" s="44">
        <f t="shared" si="1"/>
        <v>117.64705882352941</v>
      </c>
      <c r="M19" s="65">
        <v>540</v>
      </c>
      <c r="O19" s="36">
        <v>37</v>
      </c>
      <c r="P19" s="209">
        <v>45778</v>
      </c>
      <c r="Q19" s="44">
        <v>7.6</v>
      </c>
      <c r="R19" s="68" t="s">
        <v>49</v>
      </c>
      <c r="S19" s="44">
        <f t="shared" si="2"/>
        <v>118.42105263157896</v>
      </c>
      <c r="T19" s="47">
        <v>480</v>
      </c>
    </row>
    <row r="20" spans="1:20" ht="18" customHeight="1" thickBot="1" x14ac:dyDescent="0.45">
      <c r="A20" s="36">
        <v>11</v>
      </c>
      <c r="B20" s="170">
        <v>45262</v>
      </c>
      <c r="C20" s="100">
        <v>11.58</v>
      </c>
      <c r="D20" s="56" t="s">
        <v>49</v>
      </c>
      <c r="E20" s="14">
        <f t="shared" si="0"/>
        <v>155.44041450777203</v>
      </c>
      <c r="F20" s="59">
        <v>200</v>
      </c>
      <c r="H20" s="36">
        <v>25</v>
      </c>
      <c r="I20" s="170">
        <v>45261</v>
      </c>
      <c r="J20" s="202">
        <v>6.8</v>
      </c>
      <c r="K20" s="56" t="s">
        <v>56</v>
      </c>
      <c r="L20" s="44">
        <f t="shared" si="1"/>
        <v>132.35294117647058</v>
      </c>
      <c r="M20" s="74">
        <v>820</v>
      </c>
      <c r="O20" s="36">
        <v>38</v>
      </c>
      <c r="P20" s="209">
        <v>45778</v>
      </c>
      <c r="Q20" s="44">
        <v>8.15</v>
      </c>
      <c r="R20" s="68" t="s">
        <v>49</v>
      </c>
      <c r="S20" s="44">
        <f t="shared" si="2"/>
        <v>110.42944785276073</v>
      </c>
      <c r="T20" s="47">
        <v>510</v>
      </c>
    </row>
    <row r="21" spans="1:20" ht="18" customHeight="1" thickBot="1" x14ac:dyDescent="0.45">
      <c r="A21" s="36">
        <v>12</v>
      </c>
      <c r="B21" s="170">
        <v>45214</v>
      </c>
      <c r="C21" s="100">
        <v>11.47</v>
      </c>
      <c r="D21" s="56" t="s">
        <v>49</v>
      </c>
      <c r="E21" s="14">
        <f t="shared" si="0"/>
        <v>156.93112467306014</v>
      </c>
      <c r="F21" s="59">
        <v>680</v>
      </c>
      <c r="H21" s="36">
        <v>26</v>
      </c>
      <c r="I21" s="170">
        <v>45261</v>
      </c>
      <c r="J21" s="204">
        <v>7.23</v>
      </c>
      <c r="K21" s="70" t="s">
        <v>51</v>
      </c>
      <c r="L21" s="44">
        <f t="shared" si="1"/>
        <v>124.48132780082987</v>
      </c>
      <c r="M21" s="74">
        <v>835</v>
      </c>
      <c r="O21" s="36">
        <v>39</v>
      </c>
      <c r="P21" s="208">
        <v>45597</v>
      </c>
      <c r="Q21" s="44">
        <v>9.11</v>
      </c>
      <c r="R21" s="68" t="s">
        <v>49</v>
      </c>
      <c r="S21" s="44">
        <f t="shared" si="2"/>
        <v>98.792535675082334</v>
      </c>
      <c r="T21" s="47">
        <v>620</v>
      </c>
    </row>
    <row r="22" spans="1:20" ht="18" customHeight="1" thickBot="1" x14ac:dyDescent="0.45">
      <c r="A22" s="36">
        <v>13</v>
      </c>
      <c r="B22" s="170">
        <v>45214</v>
      </c>
      <c r="C22" s="100">
        <v>9.83</v>
      </c>
      <c r="D22" s="56" t="s">
        <v>56</v>
      </c>
      <c r="E22" s="14">
        <f t="shared" si="0"/>
        <v>183.11291963377417</v>
      </c>
      <c r="F22" s="59">
        <v>3400</v>
      </c>
      <c r="H22" s="36">
        <v>27</v>
      </c>
      <c r="I22" s="171">
        <v>45258</v>
      </c>
      <c r="J22" s="202">
        <v>6.91</v>
      </c>
      <c r="K22" s="70" t="s">
        <v>51</v>
      </c>
      <c r="L22" s="44">
        <f t="shared" si="1"/>
        <v>130.24602026049203</v>
      </c>
      <c r="M22" s="74">
        <v>300</v>
      </c>
      <c r="O22" s="36">
        <v>40</v>
      </c>
      <c r="P22" s="210"/>
      <c r="Q22" s="44">
        <v>7.73</v>
      </c>
      <c r="R22" s="68" t="s">
        <v>49</v>
      </c>
      <c r="S22" s="44">
        <f t="shared" si="2"/>
        <v>116.42949547218628</v>
      </c>
      <c r="T22" s="47">
        <v>490</v>
      </c>
    </row>
    <row r="23" spans="1:20" ht="18" customHeight="1" thickBot="1" x14ac:dyDescent="0.45">
      <c r="A23" s="36">
        <v>14</v>
      </c>
      <c r="B23" s="171">
        <v>45260</v>
      </c>
      <c r="C23" s="100">
        <v>9.9499999999999993</v>
      </c>
      <c r="D23" s="56" t="s">
        <v>49</v>
      </c>
      <c r="E23" s="14">
        <f t="shared" si="0"/>
        <v>180.90452261306535</v>
      </c>
      <c r="F23" s="59">
        <v>205</v>
      </c>
      <c r="H23" s="36"/>
      <c r="I23" s="60"/>
      <c r="J23" s="67"/>
      <c r="K23" s="71"/>
      <c r="L23" s="44"/>
      <c r="M23" s="77"/>
      <c r="O23" s="36"/>
      <c r="P23" s="43"/>
      <c r="Q23" s="44"/>
      <c r="R23" s="44"/>
      <c r="S23" s="14"/>
      <c r="T23" s="47"/>
    </row>
    <row r="24" spans="1:20" ht="18" customHeight="1" x14ac:dyDescent="0.4">
      <c r="A24" s="36"/>
      <c r="B24" s="13"/>
      <c r="C24" s="44"/>
      <c r="D24" s="14"/>
      <c r="E24" s="14"/>
      <c r="F24" s="47"/>
      <c r="H24" s="36"/>
      <c r="I24" s="60"/>
      <c r="J24" s="62"/>
      <c r="K24" s="70"/>
      <c r="L24" s="44"/>
      <c r="M24" s="74"/>
      <c r="O24" s="36"/>
      <c r="P24" s="43"/>
      <c r="Q24" s="44"/>
      <c r="R24" s="44"/>
      <c r="S24" s="14"/>
      <c r="T24" s="47"/>
    </row>
    <row r="25" spans="1:20" ht="18" customHeight="1" x14ac:dyDescent="0.4">
      <c r="A25" s="36"/>
      <c r="B25" s="13"/>
      <c r="C25" s="44"/>
      <c r="D25" s="14"/>
      <c r="E25" s="14"/>
      <c r="F25" s="47"/>
      <c r="H25" s="36"/>
      <c r="I25" s="60"/>
      <c r="J25" s="63"/>
      <c r="K25" s="72"/>
      <c r="L25" s="44"/>
      <c r="M25" s="73"/>
      <c r="O25" s="36"/>
      <c r="P25" s="43"/>
      <c r="Q25" s="44"/>
      <c r="R25" s="44"/>
      <c r="S25" s="14"/>
      <c r="T25" s="47"/>
    </row>
    <row r="26" spans="1:20" ht="18" customHeight="1" x14ac:dyDescent="0.3">
      <c r="A26" s="36"/>
      <c r="B26" s="13"/>
      <c r="C26" s="44"/>
      <c r="D26" s="14"/>
      <c r="E26" s="14"/>
      <c r="F26" s="47"/>
      <c r="H26" s="36"/>
      <c r="I26" s="13"/>
      <c r="J26" s="14"/>
      <c r="K26" s="14"/>
      <c r="L26" s="44"/>
      <c r="M26" s="15"/>
      <c r="O26" s="36"/>
      <c r="P26" s="43"/>
      <c r="Q26" s="44"/>
      <c r="R26" s="44"/>
      <c r="S26" s="14"/>
      <c r="T26" s="47"/>
    </row>
    <row r="27" spans="1:20" ht="18" customHeight="1" x14ac:dyDescent="0.3">
      <c r="A27" s="36"/>
      <c r="B27" s="13"/>
      <c r="C27" s="44"/>
      <c r="D27" s="14"/>
      <c r="E27" s="14"/>
      <c r="F27" s="47"/>
      <c r="H27" s="36"/>
      <c r="I27" s="13"/>
      <c r="J27" s="14"/>
      <c r="K27" s="14"/>
      <c r="L27" s="44"/>
      <c r="M27" s="15"/>
      <c r="O27" s="36"/>
      <c r="P27" s="43"/>
      <c r="Q27" s="44"/>
      <c r="R27" s="44"/>
      <c r="S27" s="14"/>
      <c r="T27" s="47"/>
    </row>
    <row r="28" spans="1:20" ht="18" customHeight="1" x14ac:dyDescent="0.3">
      <c r="A28" s="36"/>
      <c r="B28" s="13"/>
      <c r="C28" s="44"/>
      <c r="D28" s="14"/>
      <c r="E28" s="14"/>
      <c r="F28" s="47"/>
      <c r="H28" s="36"/>
      <c r="I28" s="13"/>
      <c r="J28" s="14"/>
      <c r="K28" s="14"/>
      <c r="L28" s="44"/>
      <c r="M28" s="15"/>
      <c r="O28" s="36"/>
      <c r="P28" s="43"/>
      <c r="Q28" s="44"/>
      <c r="R28" s="44"/>
      <c r="S28" s="14"/>
      <c r="T28" s="47"/>
    </row>
    <row r="29" spans="1:20" ht="18" customHeight="1" x14ac:dyDescent="0.3">
      <c r="A29" s="36"/>
      <c r="B29" s="13"/>
      <c r="C29" s="44"/>
      <c r="D29" s="14"/>
      <c r="E29" s="14"/>
      <c r="F29" s="47"/>
      <c r="H29" s="36"/>
      <c r="I29" s="13"/>
      <c r="J29" s="14"/>
      <c r="K29" s="14"/>
      <c r="L29" s="44"/>
      <c r="M29" s="15"/>
      <c r="O29" s="36"/>
      <c r="P29" s="43"/>
      <c r="Q29" s="44"/>
      <c r="R29" s="44"/>
      <c r="S29" s="14"/>
      <c r="T29" s="47"/>
    </row>
    <row r="30" spans="1:20" ht="18" customHeight="1" x14ac:dyDescent="0.3">
      <c r="A30" s="36"/>
      <c r="B30" s="13"/>
      <c r="C30" s="44"/>
      <c r="D30" s="14"/>
      <c r="E30" s="14"/>
      <c r="F30" s="47"/>
      <c r="H30" s="36"/>
      <c r="I30" s="13"/>
      <c r="J30" s="14"/>
      <c r="K30" s="14"/>
      <c r="L30" s="44"/>
      <c r="M30" s="15"/>
      <c r="O30" s="36"/>
      <c r="P30" s="43"/>
      <c r="Q30" s="44"/>
      <c r="R30" s="44"/>
      <c r="S30" s="14"/>
      <c r="T30" s="47"/>
    </row>
    <row r="31" spans="1:20" ht="18" customHeight="1" x14ac:dyDescent="0.3">
      <c r="A31" s="36"/>
      <c r="B31" s="13"/>
      <c r="C31" s="44"/>
      <c r="D31" s="14"/>
      <c r="E31" s="14"/>
      <c r="F31" s="47"/>
      <c r="H31" s="36"/>
      <c r="I31" s="13"/>
      <c r="J31" s="14"/>
      <c r="K31" s="14"/>
      <c r="L31" s="44"/>
      <c r="M31" s="15"/>
      <c r="O31" s="36"/>
      <c r="P31" s="43"/>
      <c r="Q31" s="44"/>
      <c r="R31" s="44"/>
      <c r="S31" s="14"/>
      <c r="T31" s="47"/>
    </row>
    <row r="32" spans="1:20" ht="18" customHeight="1" thickBot="1" x14ac:dyDescent="0.35">
      <c r="A32" s="37"/>
      <c r="B32" s="16"/>
      <c r="C32" s="101"/>
      <c r="D32" s="17"/>
      <c r="E32" s="14"/>
      <c r="F32" s="48"/>
      <c r="H32" s="36"/>
      <c r="I32" s="16"/>
      <c r="J32" s="19"/>
      <c r="K32" s="19"/>
      <c r="L32" s="44"/>
      <c r="M32" s="18"/>
      <c r="O32" s="36"/>
      <c r="P32" s="45"/>
      <c r="Q32" s="46"/>
      <c r="R32" s="46"/>
      <c r="S32" s="14"/>
      <c r="T32" s="48"/>
    </row>
    <row r="33" spans="1:20" x14ac:dyDescent="0.3">
      <c r="C33" s="139" t="s">
        <v>14</v>
      </c>
      <c r="D33" s="140"/>
      <c r="E33" s="9">
        <f>SUM(E10:E23)</f>
        <v>2516.4751271728883</v>
      </c>
      <c r="J33" s="139" t="s">
        <v>14</v>
      </c>
      <c r="K33" s="140"/>
      <c r="L33" s="83">
        <f>SUM(L10:L25)</f>
        <v>1602.2962492041754</v>
      </c>
      <c r="Q33" s="139" t="s">
        <v>14</v>
      </c>
      <c r="R33" s="140"/>
      <c r="S33" s="9">
        <f>SUM(S10:S22)</f>
        <v>1403.2522506802165</v>
      </c>
      <c r="T33" s="8"/>
    </row>
    <row r="34" spans="1:20" ht="15" thickBot="1" x14ac:dyDescent="0.35">
      <c r="C34" s="143" t="s">
        <v>15</v>
      </c>
      <c r="D34" s="144"/>
      <c r="E34" s="80">
        <f>IFERROR(ROUND(AVERAGE(E10:E32),0),"")</f>
        <v>180</v>
      </c>
      <c r="J34" s="143" t="s">
        <v>15</v>
      </c>
      <c r="K34" s="144"/>
      <c r="L34" s="80">
        <f>IFERROR(ROUND(AVERAGE(L10:L32),0),"")</f>
        <v>123</v>
      </c>
      <c r="Q34" s="143" t="s">
        <v>15</v>
      </c>
      <c r="R34" s="144"/>
      <c r="S34" s="80">
        <f>IFERROR(ROUND(AVERAGE(S10:S32),0),"")</f>
        <v>108</v>
      </c>
      <c r="T34" s="8"/>
    </row>
    <row r="35" spans="1:20" ht="9.75" customHeight="1" thickBot="1" x14ac:dyDescent="0.35">
      <c r="T35" s="8"/>
    </row>
    <row r="36" spans="1:20" ht="15" customHeight="1" x14ac:dyDescent="0.3">
      <c r="A36" s="21"/>
      <c r="C36" s="145" t="s">
        <v>16</v>
      </c>
      <c r="D36" s="146"/>
      <c r="E36" s="147"/>
      <c r="H36" s="39" t="s">
        <v>17</v>
      </c>
      <c r="I36" s="51">
        <v>5000</v>
      </c>
      <c r="J36" s="22" t="s">
        <v>18</v>
      </c>
      <c r="L36" s="84"/>
      <c r="T36" s="8"/>
    </row>
    <row r="37" spans="1:20" ht="16.8" customHeight="1" x14ac:dyDescent="0.3">
      <c r="A37" s="24"/>
      <c r="C37" s="102" t="s">
        <v>19</v>
      </c>
      <c r="D37" s="76">
        <v>0</v>
      </c>
      <c r="E37" s="26" t="s">
        <v>20</v>
      </c>
      <c r="H37" s="40" t="s">
        <v>21</v>
      </c>
      <c r="I37" s="44">
        <v>950</v>
      </c>
      <c r="J37" s="27" t="s">
        <v>18</v>
      </c>
      <c r="L37" s="85"/>
      <c r="T37" s="8"/>
    </row>
    <row r="38" spans="1:20" ht="21" x14ac:dyDescent="0.3">
      <c r="C38" s="102" t="s">
        <v>52</v>
      </c>
      <c r="D38" s="76">
        <v>5.8</v>
      </c>
      <c r="E38" s="26" t="s">
        <v>20</v>
      </c>
      <c r="H38" s="40" t="s">
        <v>23</v>
      </c>
      <c r="I38" s="44">
        <v>7.1</v>
      </c>
      <c r="J38" s="27" t="s">
        <v>24</v>
      </c>
      <c r="T38" s="8"/>
    </row>
    <row r="39" spans="1:20" ht="15" customHeight="1" x14ac:dyDescent="0.3">
      <c r="C39" s="102" t="s">
        <v>22</v>
      </c>
      <c r="D39" s="76">
        <v>5.3</v>
      </c>
      <c r="E39" s="26" t="s">
        <v>20</v>
      </c>
      <c r="H39" s="40" t="s">
        <v>26</v>
      </c>
      <c r="I39" s="44">
        <v>37.4</v>
      </c>
      <c r="J39" s="27" t="s">
        <v>27</v>
      </c>
      <c r="T39" s="8"/>
    </row>
    <row r="40" spans="1:20" ht="13.8" customHeight="1" x14ac:dyDescent="0.3">
      <c r="C40" s="102" t="s">
        <v>25</v>
      </c>
      <c r="D40" s="76">
        <v>5.01</v>
      </c>
      <c r="E40" s="26" t="s">
        <v>20</v>
      </c>
      <c r="H40" s="40" t="s">
        <v>29</v>
      </c>
      <c r="I40" s="44">
        <v>2516</v>
      </c>
      <c r="J40" s="27" t="s">
        <v>30</v>
      </c>
      <c r="T40" s="8"/>
    </row>
    <row r="41" spans="1:20" ht="13.2" customHeight="1" x14ac:dyDescent="0.3">
      <c r="C41" s="102" t="s">
        <v>28</v>
      </c>
      <c r="D41" s="76">
        <v>44</v>
      </c>
      <c r="E41" s="26" t="s">
        <v>20</v>
      </c>
      <c r="H41" s="40" t="s">
        <v>32</v>
      </c>
      <c r="I41" s="44">
        <v>1600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3.2" customHeight="1" x14ac:dyDescent="0.3">
      <c r="C42" s="102" t="s">
        <v>31</v>
      </c>
      <c r="D42" s="76">
        <v>50</v>
      </c>
      <c r="E42" s="26" t="s">
        <v>20</v>
      </c>
      <c r="H42" s="40" t="s">
        <v>48</v>
      </c>
      <c r="I42" s="44">
        <v>1403</v>
      </c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3.2" customHeight="1" x14ac:dyDescent="0.3">
      <c r="C43" s="102" t="s">
        <v>58</v>
      </c>
      <c r="D43" s="76">
        <v>50</v>
      </c>
      <c r="E43" s="26"/>
      <c r="H43" s="40"/>
      <c r="I43" s="44"/>
      <c r="J43" s="27"/>
      <c r="L43" s="78"/>
      <c r="M43" s="78"/>
      <c r="P43" s="78"/>
      <c r="Q43" s="78"/>
      <c r="R43" s="78"/>
      <c r="S43" s="78"/>
      <c r="T43" s="79"/>
    </row>
    <row r="44" spans="1:20" ht="13.2" customHeight="1" x14ac:dyDescent="0.3">
      <c r="C44" s="102" t="s">
        <v>36</v>
      </c>
      <c r="D44" s="76">
        <v>42</v>
      </c>
      <c r="E44" s="26" t="s">
        <v>20</v>
      </c>
      <c r="H44" s="40" t="s">
        <v>37</v>
      </c>
      <c r="I44" s="44">
        <v>5519</v>
      </c>
      <c r="J44" s="27" t="s">
        <v>30</v>
      </c>
      <c r="T44" s="8"/>
    </row>
    <row r="45" spans="1:20" ht="16.2" customHeight="1" thickBot="1" x14ac:dyDescent="0.35">
      <c r="C45" s="103" t="s">
        <v>41</v>
      </c>
      <c r="D45" s="87">
        <v>1</v>
      </c>
      <c r="E45" s="88" t="s">
        <v>20</v>
      </c>
      <c r="H45" s="97" t="s">
        <v>42</v>
      </c>
      <c r="I45" s="44">
        <v>9990</v>
      </c>
      <c r="J45" s="93" t="s">
        <v>18</v>
      </c>
      <c r="T45" s="8"/>
    </row>
    <row r="46" spans="1:20" ht="15.6" customHeight="1" thickBot="1" x14ac:dyDescent="0.35">
      <c r="C46" s="107" t="s">
        <v>43</v>
      </c>
      <c r="D46" s="105">
        <v>0</v>
      </c>
      <c r="E46" s="106" t="s">
        <v>20</v>
      </c>
      <c r="H46" s="99" t="s">
        <v>44</v>
      </c>
      <c r="I46" s="96">
        <v>4.8</v>
      </c>
      <c r="J46" s="94" t="s">
        <v>45</v>
      </c>
      <c r="T46" s="8"/>
    </row>
    <row r="47" spans="1:20" ht="15" thickBot="1" x14ac:dyDescent="0.35">
      <c r="A47" s="31"/>
      <c r="B47" s="32"/>
      <c r="C47" s="42"/>
      <c r="D47" s="32"/>
      <c r="E47" s="32"/>
      <c r="F47" s="42"/>
      <c r="G47" s="32"/>
      <c r="H47" s="98" t="s">
        <v>46</v>
      </c>
      <c r="I47" s="92">
        <v>5.5</v>
      </c>
      <c r="J47" s="95" t="s">
        <v>45</v>
      </c>
      <c r="K47" s="32"/>
      <c r="L47" s="42"/>
      <c r="M47" s="32"/>
      <c r="N47" s="32"/>
      <c r="O47" s="42"/>
      <c r="P47" s="32"/>
      <c r="Q47" s="32"/>
      <c r="R47" s="32"/>
      <c r="S47" s="32"/>
      <c r="T47" s="34"/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conditionalFormatting sqref="F10:F11 F15:F23">
    <cfRule type="cellIs" dxfId="43" priority="22" operator="greaterThan">
      <formula>2000</formula>
    </cfRule>
  </conditionalFormatting>
  <conditionalFormatting sqref="F14">
    <cfRule type="cellIs" dxfId="42" priority="19" operator="greaterThan">
      <formula>2499</formula>
    </cfRule>
    <cfRule type="cellIs" dxfId="41" priority="20" operator="equal">
      <formula>2000</formula>
    </cfRule>
    <cfRule type="cellIs" dxfId="40" priority="21" stopIfTrue="1" operator="greaterThan">
      <formula>3500</formula>
    </cfRule>
  </conditionalFormatting>
  <conditionalFormatting sqref="M13:M14">
    <cfRule type="cellIs" dxfId="39" priority="1" operator="greaterThan">
      <formula>2499</formula>
    </cfRule>
    <cfRule type="cellIs" dxfId="38" priority="2" operator="equal">
      <formula>2000</formula>
    </cfRule>
    <cfRule type="cellIs" dxfId="37" priority="3" stopIfTrue="1" operator="greaterThan">
      <formula>3500</formula>
    </cfRule>
  </conditionalFormatting>
  <conditionalFormatting sqref="M16">
    <cfRule type="cellIs" dxfId="36" priority="10" operator="greaterThan">
      <formula>2499</formula>
    </cfRule>
    <cfRule type="cellIs" dxfId="35" priority="11" operator="equal">
      <formula>2000</formula>
    </cfRule>
    <cfRule type="cellIs" dxfId="34" priority="12" stopIfTrue="1" operator="greaterThan">
      <formula>3500</formula>
    </cfRule>
  </conditionalFormatting>
  <conditionalFormatting sqref="M17:M22">
    <cfRule type="cellIs" dxfId="33" priority="13" operator="greaterThan">
      <formula>2500</formula>
    </cfRule>
    <cfRule type="cellIs" dxfId="32" priority="14" operator="greaterThan">
      <formula>2685</formula>
    </cfRule>
    <cfRule type="cellIs" dxfId="31" priority="15" operator="greaterThan">
      <formula>5000</formula>
    </cfRule>
  </conditionalFormatting>
  <conditionalFormatting sqref="M24">
    <cfRule type="cellIs" dxfId="30" priority="4" operator="greaterThan">
      <formula>2500</formula>
    </cfRule>
    <cfRule type="cellIs" dxfId="29" priority="5" operator="greaterThan">
      <formula>2685</formula>
    </cfRule>
    <cfRule type="cellIs" dxfId="28" priority="6" operator="greaterThan">
      <formula>5000</formula>
    </cfRule>
  </conditionalFormatting>
  <dataValidations count="9">
    <dataValidation type="list" allowBlank="1" showErrorMessage="1" errorTitle="Stage" error="Pick the stage from the list." sqref="A8 H8 O8" xr:uid="{A64F4D56-1CD2-4C82-911E-F72F5199A5EF}">
      <formula1>"I STAGE,II STAGE,III STAGE,IV STAGE"</formula1>
    </dataValidation>
    <dataValidation type="list" showErrorMessage="1" errorTitle="Zone" error="Pick a zone from the list." sqref="C5" xr:uid="{4B418460-BB41-412D-97E9-E083EA02666D}">
      <formula1>"Ahmedabad,Vadodara,Ankleshwar,Panoli,Jhagadia,Dahej,Vapi"</formula1>
    </dataValidation>
    <dataValidation type="list" allowBlank="1" sqref="D10:D32 K10:K32 R10:R32" xr:uid="{CDEBC1DD-8A13-435C-852B-74C7BF77F897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030E76D9-B3F9-4CA7-BCB8-470B6BC6476E}">
      <formula1>1</formula1>
    </dataValidation>
    <dataValidation type="date" operator="greaterThan" allowBlank="1" showErrorMessage="1" errorTitle="Date" error="Enter a real date." sqref="B10:B32 I3 I10:I32 P10:P32" xr:uid="{6788ECCD-81AD-489D-8882-74F27200AB17}">
      <formula1>DATE(2000,1,1)</formula1>
    </dataValidation>
    <dataValidation type="decimal" operator="greaterThanOrEqual" allowBlank="1" showErrorMessage="1" errorTitle="Flow" error="Flow must be a number &gt;= 0." sqref="L10:L32 E10:E32 J10:J32 C10:C32 Q10:Q32 S10:S32" xr:uid="{FB0B959F-4E36-440B-8824-A5FE1A284828}">
      <formula1>0</formula1>
    </dataValidation>
    <dataValidation type="decimal" allowBlank="1" showErrorMessage="1" errorTitle="Conductivity" error="Conductivity must be 0..50000 us/cm." sqref="M10:M32 T10:T32 F10:F32" xr:uid="{6E630AC9-A796-49E3-9748-4D164BAC636E}">
      <formula1>0</formula1>
      <formula2>50000</formula2>
    </dataValidation>
    <dataValidation type="decimal" operator="greaterThanOrEqual" allowBlank="1" showErrorMessage="1" errorTitle="Value" error="Value must be a number &gt;= 0." sqref="I36:I47 D37:D46" xr:uid="{47F61D24-ED8D-4042-9FAC-BCC969925CC6}">
      <formula1>0</formula1>
    </dataValidation>
    <dataValidation type="whole" operator="greaterThanOrEqual" showErrorMessage="1" errorTitle="Plant SR No" error="Plant SR No must be a whole number &gt;= 1." sqref="C4" xr:uid="{D7F96778-F85C-4B09-BDF9-369640504C63}">
      <formula1>1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0CE-14CC-403D-B560-29B708555C96}">
  <dimension ref="A1:U46"/>
  <sheetViews>
    <sheetView topLeftCell="A6" workbookViewId="0">
      <selection activeCell="E16" sqref="E16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4" width="13" style="7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1.77734375" style="7" customWidth="1"/>
    <col min="12" max="12" width="8.6640625" style="38" customWidth="1"/>
    <col min="13" max="13" width="10.6640625" style="38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59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61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55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211">
        <v>45778</v>
      </c>
      <c r="C10" s="44">
        <v>10.01</v>
      </c>
      <c r="D10" s="56" t="s">
        <v>49</v>
      </c>
      <c r="E10" s="44">
        <f>1800/C10</f>
        <v>179.82017982017982</v>
      </c>
      <c r="F10" s="47">
        <v>420</v>
      </c>
      <c r="H10" s="36">
        <v>24</v>
      </c>
      <c r="I10" s="170">
        <v>45597</v>
      </c>
      <c r="J10" s="44">
        <v>11.6</v>
      </c>
      <c r="K10" s="56" t="s">
        <v>49</v>
      </c>
      <c r="L10" s="44">
        <f>900/J10</f>
        <v>77.58620689655173</v>
      </c>
      <c r="M10" s="47">
        <v>1400</v>
      </c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thickBot="1" x14ac:dyDescent="0.35">
      <c r="A11" s="36">
        <v>2</v>
      </c>
      <c r="B11" s="211">
        <v>45778</v>
      </c>
      <c r="C11" s="44">
        <v>10.88</v>
      </c>
      <c r="D11" s="56" t="s">
        <v>49</v>
      </c>
      <c r="E11" s="44">
        <f t="shared" ref="E11:E14" si="0">1800/C11</f>
        <v>165.44117647058823</v>
      </c>
      <c r="F11" s="47">
        <v>1400</v>
      </c>
      <c r="H11" s="36">
        <v>25</v>
      </c>
      <c r="I11" s="170">
        <v>45413</v>
      </c>
      <c r="J11" s="44">
        <v>13.31</v>
      </c>
      <c r="K11" s="56" t="s">
        <v>56</v>
      </c>
      <c r="L11" s="44">
        <f t="shared" ref="L11:L19" si="1">900/J11</f>
        <v>67.618332081142</v>
      </c>
      <c r="M11" s="109">
        <v>5100</v>
      </c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thickBot="1" x14ac:dyDescent="0.35">
      <c r="A12" s="36">
        <v>3</v>
      </c>
      <c r="B12" s="170">
        <v>45415</v>
      </c>
      <c r="C12" s="44">
        <v>9.1300000000000008</v>
      </c>
      <c r="D12" s="56" t="s">
        <v>49</v>
      </c>
      <c r="E12" s="44">
        <f t="shared" si="0"/>
        <v>197.15224534501641</v>
      </c>
      <c r="F12" s="47">
        <v>400</v>
      </c>
      <c r="H12" s="36">
        <v>26</v>
      </c>
      <c r="I12" s="170">
        <v>45597</v>
      </c>
      <c r="J12" s="44">
        <v>12.45</v>
      </c>
      <c r="K12" s="56" t="s">
        <v>56</v>
      </c>
      <c r="L12" s="44">
        <f t="shared" si="1"/>
        <v>72.289156626506028</v>
      </c>
      <c r="M12" s="109">
        <v>3700</v>
      </c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thickBot="1" x14ac:dyDescent="0.35">
      <c r="A13" s="36">
        <v>4</v>
      </c>
      <c r="B13" s="170">
        <v>45416</v>
      </c>
      <c r="C13" s="44">
        <v>14.48</v>
      </c>
      <c r="D13" s="56" t="s">
        <v>49</v>
      </c>
      <c r="E13" s="44">
        <f t="shared" si="0"/>
        <v>124.30939226519337</v>
      </c>
      <c r="F13" s="47">
        <v>600</v>
      </c>
      <c r="H13" s="36">
        <v>27</v>
      </c>
      <c r="I13" s="170">
        <v>45597</v>
      </c>
      <c r="J13" s="44">
        <v>13.45</v>
      </c>
      <c r="K13" s="56" t="s">
        <v>56</v>
      </c>
      <c r="L13" s="44">
        <f t="shared" si="1"/>
        <v>66.914498141263948</v>
      </c>
      <c r="M13" s="109">
        <v>6000</v>
      </c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thickBot="1" x14ac:dyDescent="0.35">
      <c r="A14" s="36">
        <v>5</v>
      </c>
      <c r="B14" s="211">
        <v>45778</v>
      </c>
      <c r="C14" s="44">
        <v>10.86</v>
      </c>
      <c r="D14" s="56" t="s">
        <v>49</v>
      </c>
      <c r="E14" s="44">
        <f t="shared" si="0"/>
        <v>165.74585635359117</v>
      </c>
      <c r="F14" s="47">
        <v>1700</v>
      </c>
      <c r="H14" s="36">
        <v>28</v>
      </c>
      <c r="I14" s="170">
        <v>45597</v>
      </c>
      <c r="J14" s="44">
        <v>11.23</v>
      </c>
      <c r="K14" s="56" t="s">
        <v>56</v>
      </c>
      <c r="L14" s="44">
        <f t="shared" si="1"/>
        <v>80.142475512021363</v>
      </c>
      <c r="M14" s="109">
        <v>3900</v>
      </c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thickBot="1" x14ac:dyDescent="0.35">
      <c r="A15" s="36">
        <v>6</v>
      </c>
      <c r="B15" s="13"/>
      <c r="C15" s="14"/>
      <c r="D15" s="14"/>
      <c r="E15" s="14"/>
      <c r="F15" s="15"/>
      <c r="H15" s="36">
        <v>29</v>
      </c>
      <c r="I15" s="170">
        <v>45413</v>
      </c>
      <c r="J15" s="44">
        <v>12.13</v>
      </c>
      <c r="K15" s="56" t="s">
        <v>56</v>
      </c>
      <c r="L15" s="44">
        <f t="shared" si="1"/>
        <v>74.196207749381699</v>
      </c>
      <c r="M15" s="109">
        <v>3200</v>
      </c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thickBot="1" x14ac:dyDescent="0.35">
      <c r="A16" s="36">
        <v>7</v>
      </c>
      <c r="B16" s="13"/>
      <c r="C16" s="14"/>
      <c r="D16" s="14"/>
      <c r="E16" s="14"/>
      <c r="F16" s="15"/>
      <c r="H16" s="36">
        <v>30</v>
      </c>
      <c r="I16" s="170">
        <v>45597</v>
      </c>
      <c r="J16" s="44">
        <v>10.41</v>
      </c>
      <c r="K16" s="56" t="s">
        <v>56</v>
      </c>
      <c r="L16" s="44">
        <f t="shared" si="1"/>
        <v>86.455331412103746</v>
      </c>
      <c r="M16" s="109">
        <v>6800</v>
      </c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thickBot="1" x14ac:dyDescent="0.35">
      <c r="A17" s="36">
        <v>8</v>
      </c>
      <c r="B17" s="13"/>
      <c r="C17" s="14"/>
      <c r="D17" s="14"/>
      <c r="E17" s="14"/>
      <c r="F17" s="15"/>
      <c r="H17" s="36">
        <v>31</v>
      </c>
      <c r="I17" s="170">
        <v>45931</v>
      </c>
      <c r="J17" s="44">
        <v>15.68</v>
      </c>
      <c r="K17" s="56" t="s">
        <v>56</v>
      </c>
      <c r="L17" s="44">
        <f t="shared" si="1"/>
        <v>57.397959183673471</v>
      </c>
      <c r="M17" s="109">
        <v>4200</v>
      </c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thickBot="1" x14ac:dyDescent="0.35">
      <c r="A18" s="36">
        <v>9</v>
      </c>
      <c r="B18" s="13"/>
      <c r="C18" s="14"/>
      <c r="D18" s="14"/>
      <c r="E18" s="14"/>
      <c r="F18" s="15"/>
      <c r="H18" s="36">
        <v>32</v>
      </c>
      <c r="I18" s="170">
        <v>45901</v>
      </c>
      <c r="J18" s="44">
        <v>12.41</v>
      </c>
      <c r="K18" s="56" t="s">
        <v>56</v>
      </c>
      <c r="L18" s="44">
        <f t="shared" si="1"/>
        <v>72.522159548751006</v>
      </c>
      <c r="M18" s="109">
        <v>5500</v>
      </c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thickBot="1" x14ac:dyDescent="0.35">
      <c r="A19" s="36">
        <v>10</v>
      </c>
      <c r="B19" s="13"/>
      <c r="C19" s="14"/>
      <c r="D19" s="14"/>
      <c r="E19" s="14"/>
      <c r="F19" s="15"/>
      <c r="H19" s="36">
        <v>33</v>
      </c>
      <c r="I19" s="211">
        <v>45778</v>
      </c>
      <c r="J19" s="44">
        <v>13.98</v>
      </c>
      <c r="K19" s="56" t="s">
        <v>56</v>
      </c>
      <c r="L19" s="44">
        <f t="shared" si="1"/>
        <v>64.377682403433468</v>
      </c>
      <c r="M19" s="109">
        <v>3300</v>
      </c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3">
      <c r="A20" s="36">
        <v>11</v>
      </c>
      <c r="B20" s="13"/>
      <c r="C20" s="14"/>
      <c r="D20" s="14"/>
      <c r="E20" s="14"/>
      <c r="F20" s="15"/>
      <c r="H20" s="36">
        <v>34</v>
      </c>
      <c r="I20" s="13"/>
      <c r="J20" s="14"/>
      <c r="K20" s="14"/>
      <c r="L20" s="44"/>
      <c r="M20" s="47"/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3">
      <c r="A21" s="36">
        <v>12</v>
      </c>
      <c r="B21" s="13"/>
      <c r="C21" s="14"/>
      <c r="D21" s="14"/>
      <c r="E21" s="14"/>
      <c r="F21" s="15"/>
      <c r="H21" s="36">
        <v>35</v>
      </c>
      <c r="I21" s="13"/>
      <c r="J21" s="14"/>
      <c r="K21" s="14"/>
      <c r="L21" s="44"/>
      <c r="M21" s="47"/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>
        <v>13</v>
      </c>
      <c r="B22" s="13"/>
      <c r="C22" s="14"/>
      <c r="D22" s="14"/>
      <c r="E22" s="14"/>
      <c r="F22" s="15"/>
      <c r="H22" s="36">
        <v>36</v>
      </c>
      <c r="I22" s="13"/>
      <c r="J22" s="14"/>
      <c r="K22" s="14"/>
      <c r="L22" s="44"/>
      <c r="M22" s="47"/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>
        <v>14</v>
      </c>
      <c r="B23" s="13"/>
      <c r="C23" s="14"/>
      <c r="D23" s="14"/>
      <c r="E23" s="14"/>
      <c r="F23" s="15"/>
      <c r="H23" s="36">
        <v>37</v>
      </c>
      <c r="I23" s="13"/>
      <c r="J23" s="14"/>
      <c r="K23" s="14"/>
      <c r="L23" s="44"/>
      <c r="M23" s="47"/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>
        <v>15</v>
      </c>
      <c r="B24" s="13"/>
      <c r="C24" s="14"/>
      <c r="D24" s="14"/>
      <c r="E24" s="14"/>
      <c r="F24" s="15"/>
      <c r="H24" s="36">
        <v>38</v>
      </c>
      <c r="I24" s="13"/>
      <c r="J24" s="14"/>
      <c r="K24" s="14"/>
      <c r="L24" s="44"/>
      <c r="M24" s="47"/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>
        <v>16</v>
      </c>
      <c r="B25" s="13"/>
      <c r="C25" s="14"/>
      <c r="D25" s="14"/>
      <c r="E25" s="14"/>
      <c r="F25" s="15"/>
      <c r="H25" s="36">
        <v>39</v>
      </c>
      <c r="I25" s="13"/>
      <c r="J25" s="14"/>
      <c r="K25" s="14"/>
      <c r="L25" s="44"/>
      <c r="M25" s="47"/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>
        <v>17</v>
      </c>
      <c r="B26" s="13"/>
      <c r="C26" s="14"/>
      <c r="D26" s="14"/>
      <c r="E26" s="14"/>
      <c r="F26" s="15"/>
      <c r="H26" s="36">
        <v>40</v>
      </c>
      <c r="I26" s="13"/>
      <c r="J26" s="14"/>
      <c r="K26" s="14"/>
      <c r="L26" s="44"/>
      <c r="M26" s="47"/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>
        <v>18</v>
      </c>
      <c r="B27" s="13"/>
      <c r="C27" s="14"/>
      <c r="D27" s="14"/>
      <c r="E27" s="14"/>
      <c r="F27" s="15"/>
      <c r="H27" s="36">
        <v>41</v>
      </c>
      <c r="I27" s="13"/>
      <c r="J27" s="14"/>
      <c r="K27" s="14"/>
      <c r="L27" s="44"/>
      <c r="M27" s="47"/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>
        <v>19</v>
      </c>
      <c r="B28" s="13"/>
      <c r="C28" s="14"/>
      <c r="D28" s="14"/>
      <c r="E28" s="14"/>
      <c r="F28" s="15"/>
      <c r="H28" s="36">
        <v>42</v>
      </c>
      <c r="I28" s="13"/>
      <c r="J28" s="14"/>
      <c r="K28" s="14"/>
      <c r="L28" s="44"/>
      <c r="M28" s="47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>
        <v>20</v>
      </c>
      <c r="B29" s="13"/>
      <c r="C29" s="14"/>
      <c r="D29" s="14"/>
      <c r="E29" s="14"/>
      <c r="F29" s="15"/>
      <c r="H29" s="36">
        <v>43</v>
      </c>
      <c r="I29" s="13"/>
      <c r="J29" s="14"/>
      <c r="K29" s="14"/>
      <c r="L29" s="44"/>
      <c r="M29" s="47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>
        <v>21</v>
      </c>
      <c r="B30" s="13"/>
      <c r="C30" s="14"/>
      <c r="D30" s="14"/>
      <c r="E30" s="14"/>
      <c r="F30" s="15"/>
      <c r="H30" s="36">
        <v>44</v>
      </c>
      <c r="I30" s="13"/>
      <c r="J30" s="14"/>
      <c r="K30" s="14"/>
      <c r="L30" s="44"/>
      <c r="M30" s="47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>
        <v>22</v>
      </c>
      <c r="B31" s="13"/>
      <c r="C31" s="14"/>
      <c r="D31" s="14"/>
      <c r="E31" s="14"/>
      <c r="F31" s="15"/>
      <c r="H31" s="36">
        <v>45</v>
      </c>
      <c r="I31" s="13"/>
      <c r="J31" s="14"/>
      <c r="K31" s="14"/>
      <c r="L31" s="44"/>
      <c r="M31" s="47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>
        <v>23</v>
      </c>
      <c r="B32" s="16"/>
      <c r="C32" s="17"/>
      <c r="D32" s="17"/>
      <c r="E32" s="14"/>
      <c r="F32" s="18"/>
      <c r="H32" s="36">
        <v>46</v>
      </c>
      <c r="I32" s="16"/>
      <c r="J32" s="19"/>
      <c r="K32" s="19"/>
      <c r="L32" s="44"/>
      <c r="M32" s="4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83">
        <f>SUM(E10:E14)</f>
        <v>832.46885025456902</v>
      </c>
      <c r="J33" s="139" t="s">
        <v>14</v>
      </c>
      <c r="K33" s="140"/>
      <c r="L33" s="83">
        <f>SUM(L10:L19)</f>
        <v>719.50000955482847</v>
      </c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80">
        <f>IFERROR(ROUND(AVERAGE(E10:E32),0),"")</f>
        <v>166</v>
      </c>
      <c r="J34" s="143" t="s">
        <v>15</v>
      </c>
      <c r="K34" s="144"/>
      <c r="L34" s="80">
        <f>IFERROR(ROUND(AVERAGE(L10:L32),0),"")</f>
        <v>72</v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>
        <v>10200</v>
      </c>
      <c r="J36" s="22" t="s">
        <v>18</v>
      </c>
      <c r="L36" s="84"/>
      <c r="T36" s="8"/>
    </row>
    <row r="37" spans="1:20" ht="15.6" x14ac:dyDescent="0.3">
      <c r="A37" s="24"/>
      <c r="C37" s="25" t="s">
        <v>19</v>
      </c>
      <c r="D37" s="49">
        <v>0.8</v>
      </c>
      <c r="E37" s="26" t="s">
        <v>20</v>
      </c>
      <c r="H37" s="40" t="s">
        <v>21</v>
      </c>
      <c r="I37" s="44">
        <v>2300</v>
      </c>
      <c r="J37" s="27" t="s">
        <v>18</v>
      </c>
      <c r="L37" s="85"/>
      <c r="T37" s="8"/>
    </row>
    <row r="38" spans="1:20" ht="15.6" x14ac:dyDescent="0.3">
      <c r="A38" s="6"/>
      <c r="C38" s="25" t="s">
        <v>19</v>
      </c>
      <c r="D38" s="49">
        <v>4.5</v>
      </c>
      <c r="E38" s="26" t="s">
        <v>20</v>
      </c>
      <c r="H38" s="40" t="s">
        <v>23</v>
      </c>
      <c r="I38" s="44">
        <v>7.2</v>
      </c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49">
        <v>0</v>
      </c>
      <c r="E39" s="26" t="s">
        <v>20</v>
      </c>
      <c r="H39" s="40" t="s">
        <v>26</v>
      </c>
      <c r="I39" s="44">
        <v>38.200000000000003</v>
      </c>
      <c r="J39" s="27" t="s">
        <v>27</v>
      </c>
      <c r="T39" s="8"/>
    </row>
    <row r="40" spans="1:20" ht="15.6" x14ac:dyDescent="0.3">
      <c r="A40" s="6"/>
      <c r="C40" s="25" t="s">
        <v>25</v>
      </c>
      <c r="D40" s="49">
        <v>3.5</v>
      </c>
      <c r="E40" s="26" t="s">
        <v>20</v>
      </c>
      <c r="H40" s="40" t="s">
        <v>29</v>
      </c>
      <c r="I40" s="44">
        <v>832</v>
      </c>
      <c r="J40" s="27" t="s">
        <v>30</v>
      </c>
      <c r="T40" s="8"/>
    </row>
    <row r="41" spans="1:20" ht="15.6" x14ac:dyDescent="0.3">
      <c r="A41" s="6"/>
      <c r="C41" s="25" t="s">
        <v>28</v>
      </c>
      <c r="D41" s="49">
        <v>56</v>
      </c>
      <c r="E41" s="26" t="s">
        <v>20</v>
      </c>
      <c r="H41" s="40" t="s">
        <v>32</v>
      </c>
      <c r="I41" s="44">
        <v>719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49">
        <v>57</v>
      </c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49">
        <v>51</v>
      </c>
      <c r="E43" s="26" t="s">
        <v>20</v>
      </c>
      <c r="H43" s="40" t="s">
        <v>37</v>
      </c>
      <c r="I43" s="44">
        <v>1551</v>
      </c>
      <c r="J43" s="27" t="s">
        <v>30</v>
      </c>
      <c r="T43" s="8"/>
    </row>
    <row r="44" spans="1:20" ht="15.6" x14ac:dyDescent="0.3">
      <c r="A44" s="6"/>
      <c r="C44" s="25" t="s">
        <v>41</v>
      </c>
      <c r="D44" s="49">
        <v>1.5</v>
      </c>
      <c r="E44" s="26" t="s">
        <v>20</v>
      </c>
      <c r="H44" s="40" t="s">
        <v>42</v>
      </c>
      <c r="I44" s="44">
        <v>14700</v>
      </c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50">
        <v>0</v>
      </c>
      <c r="E45" s="30" t="s">
        <v>20</v>
      </c>
      <c r="F45" s="32"/>
      <c r="G45" s="32"/>
      <c r="H45" s="40" t="s">
        <v>44</v>
      </c>
      <c r="I45" s="44">
        <v>3.5</v>
      </c>
      <c r="J45" s="27" t="s">
        <v>45</v>
      </c>
      <c r="K45" s="32"/>
      <c r="L45" s="42"/>
      <c r="M45" s="4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>
        <v>1.5</v>
      </c>
      <c r="J46" s="33" t="s">
        <v>45</v>
      </c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conditionalFormatting sqref="M11:M19">
    <cfRule type="cellIs" dxfId="27" priority="1" operator="greaterThan">
      <formula>2000</formula>
    </cfRule>
  </conditionalFormatting>
  <dataValidations count="9">
    <dataValidation type="list" allowBlank="1" showErrorMessage="1" errorTitle="Stage" error="Pick the stage from the list." sqref="A8 H8 O8" xr:uid="{AF361AE7-4C56-4A4A-B2DF-26C03EB5272B}">
      <formula1>"I STAGE,II STAGE,III STAGE,IV STAGE"</formula1>
    </dataValidation>
    <dataValidation type="list" showErrorMessage="1" errorTitle="Zone" error="Pick a zone from the list." sqref="C5" xr:uid="{BF301D14-3A7D-492E-AEA4-A09B45FE4F24}">
      <formula1>"Ahmedabad,Vadodara,Ankleshwar,Panoli,Jhagadia,Dahej,Vapi"</formula1>
    </dataValidation>
    <dataValidation type="list" allowBlank="1" sqref="R10:R32 D10:D32 K10:K32" xr:uid="{391A52EC-9F51-4894-88CE-6330F81009B3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1A79EE47-CFE9-449C-8C19-32D21585E334}">
      <formula1>1</formula1>
    </dataValidation>
    <dataValidation type="date" operator="greaterThan" allowBlank="1" showErrorMessage="1" errorTitle="Date" error="Enter a real date." sqref="B10:B32 I3 I10:I32 P10:P32" xr:uid="{281A3EA3-3FB5-466A-9E94-4CEF72395A58}">
      <formula1>DATE(2000,1,1)</formula1>
    </dataValidation>
    <dataValidation type="decimal" operator="greaterThanOrEqual" allowBlank="1" showErrorMessage="1" errorTitle="Flow" error="Flow must be a number &gt;= 0." sqref="C10:C32 E10:E32 J10:J32 S10:S32 Q10:Q32 L10:L32" xr:uid="{2AAB502B-8305-42BC-B3D0-0503DC2BEEE0}">
      <formula1>0</formula1>
    </dataValidation>
    <dataValidation type="decimal" allowBlank="1" showErrorMessage="1" errorTitle="Conductivity" error="Conductivity must be 0..50000 us/cm." sqref="F10:F32 T10:T32 M10:M32" xr:uid="{3E658565-55F6-43B0-956D-062EEB04AC12}">
      <formula1>0</formula1>
      <formula2>50000</formula2>
    </dataValidation>
    <dataValidation type="decimal" operator="greaterThanOrEqual" allowBlank="1" showErrorMessage="1" errorTitle="Value" error="Value must be a number &gt;= 0." sqref="I36:I46 D37:D45" xr:uid="{65BF549E-18EC-4058-9E80-E26B85DA6734}">
      <formula1>0</formula1>
    </dataValidation>
    <dataValidation type="whole" operator="greaterThanOrEqual" showErrorMessage="1" errorTitle="Plant SR No" error="Plant SR No must be a whole number &gt;= 1." sqref="C4" xr:uid="{9BCEB63A-E5E5-4B79-B8C7-4AE93C248073}">
      <formula1>1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1075-EADF-40E2-A341-0507A981BA50}">
  <dimension ref="A1:U47"/>
  <sheetViews>
    <sheetView topLeftCell="A24" workbookViewId="0">
      <selection activeCell="D37" sqref="D37:D46"/>
    </sheetView>
  </sheetViews>
  <sheetFormatPr defaultColWidth="9.109375" defaultRowHeight="14.4" x14ac:dyDescent="0.3"/>
  <cols>
    <col min="1" max="1" width="8.6640625" style="6" customWidth="1"/>
    <col min="2" max="2" width="10.5546875" style="7" customWidth="1"/>
    <col min="3" max="3" width="13" style="38" customWidth="1"/>
    <col min="4" max="4" width="11.88671875" style="7" customWidth="1"/>
    <col min="5" max="5" width="8.6640625" style="7" customWidth="1"/>
    <col min="6" max="6" width="10.6640625" style="38" customWidth="1"/>
    <col min="7" max="7" width="2" style="7" customWidth="1"/>
    <col min="8" max="8" width="14" style="38" customWidth="1"/>
    <col min="9" max="9" width="10.44140625" style="7" customWidth="1"/>
    <col min="10" max="10" width="13" style="7" customWidth="1"/>
    <col min="11" max="11" width="12.6640625" style="7" customWidth="1"/>
    <col min="12" max="12" width="8.6640625" style="38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104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54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60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thickBot="1" x14ac:dyDescent="0.35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55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55</v>
      </c>
      <c r="R9" s="11" t="s">
        <v>11</v>
      </c>
      <c r="S9" s="11" t="s">
        <v>12</v>
      </c>
      <c r="T9" s="12" t="s">
        <v>13</v>
      </c>
    </row>
    <row r="10" spans="1:21" ht="18" customHeight="1" thickBot="1" x14ac:dyDescent="0.35">
      <c r="A10" s="36">
        <v>1</v>
      </c>
      <c r="B10" s="212">
        <v>46113</v>
      </c>
      <c r="C10" s="214">
        <v>11.53</v>
      </c>
      <c r="D10" s="56" t="s">
        <v>49</v>
      </c>
      <c r="E10" s="14">
        <f>1800/C10</f>
        <v>156.11448395490027</v>
      </c>
      <c r="F10" s="213">
        <v>210</v>
      </c>
      <c r="H10" s="36">
        <v>15</v>
      </c>
      <c r="I10" s="192">
        <v>44562</v>
      </c>
      <c r="J10" s="202">
        <v>5.58</v>
      </c>
      <c r="K10" s="68" t="s">
        <v>49</v>
      </c>
      <c r="L10" s="44">
        <f>900/J10</f>
        <v>161.29032258064515</v>
      </c>
      <c r="M10" s="205">
        <v>800</v>
      </c>
      <c r="O10" s="36">
        <v>28</v>
      </c>
      <c r="P10" s="171">
        <v>44573</v>
      </c>
      <c r="Q10" s="44">
        <v>4.88</v>
      </c>
      <c r="R10" s="68" t="s">
        <v>49</v>
      </c>
      <c r="S10" s="44">
        <f>900/Q10</f>
        <v>184.42622950819671</v>
      </c>
      <c r="T10" s="47">
        <v>2600</v>
      </c>
    </row>
    <row r="11" spans="1:21" ht="18" customHeight="1" thickBot="1" x14ac:dyDescent="0.35">
      <c r="A11" s="36">
        <v>2</v>
      </c>
      <c r="B11" s="170">
        <v>44564</v>
      </c>
      <c r="C11" s="214">
        <v>12.26</v>
      </c>
      <c r="D11" s="56" t="s">
        <v>49</v>
      </c>
      <c r="E11" s="14">
        <f t="shared" ref="E11:E23" si="0">1800/C11</f>
        <v>146.81892332789559</v>
      </c>
      <c r="F11" s="109">
        <v>1120</v>
      </c>
      <c r="H11" s="36">
        <v>16</v>
      </c>
      <c r="I11" s="170">
        <v>44563</v>
      </c>
      <c r="J11" s="203">
        <v>4.93</v>
      </c>
      <c r="K11" s="68" t="s">
        <v>49</v>
      </c>
      <c r="L11" s="44">
        <f t="shared" ref="L11:L22" si="1">900/J11</f>
        <v>182.55578093306289</v>
      </c>
      <c r="M11" s="216">
        <v>810</v>
      </c>
      <c r="O11" s="36">
        <v>29</v>
      </c>
      <c r="P11" s="192">
        <v>44563</v>
      </c>
      <c r="Q11" s="44">
        <v>5.36</v>
      </c>
      <c r="R11" s="68" t="s">
        <v>49</v>
      </c>
      <c r="S11" s="44">
        <f t="shared" ref="S11:S22" si="2">900/Q11</f>
        <v>167.91044776119401</v>
      </c>
      <c r="T11" s="47">
        <v>1800</v>
      </c>
    </row>
    <row r="12" spans="1:21" ht="18" customHeight="1" thickBot="1" x14ac:dyDescent="0.35">
      <c r="A12" s="36">
        <v>3</v>
      </c>
      <c r="B12" s="170">
        <v>44565</v>
      </c>
      <c r="C12" s="214">
        <v>14.1</v>
      </c>
      <c r="D12" s="56" t="s">
        <v>49</v>
      </c>
      <c r="E12" s="14">
        <f t="shared" si="0"/>
        <v>127.65957446808511</v>
      </c>
      <c r="F12" s="109">
        <v>1240</v>
      </c>
      <c r="H12" s="36">
        <v>17</v>
      </c>
      <c r="I12" s="170">
        <v>44564</v>
      </c>
      <c r="J12" s="204">
        <v>6.05</v>
      </c>
      <c r="K12" s="69" t="s">
        <v>49</v>
      </c>
      <c r="L12" s="44">
        <f t="shared" si="1"/>
        <v>148.7603305785124</v>
      </c>
      <c r="M12" s="217">
        <v>620</v>
      </c>
      <c r="O12" s="36">
        <v>30</v>
      </c>
      <c r="P12" s="170">
        <v>44564</v>
      </c>
      <c r="Q12" s="44">
        <v>4.71</v>
      </c>
      <c r="R12" s="68" t="s">
        <v>49</v>
      </c>
      <c r="S12" s="44">
        <f t="shared" si="2"/>
        <v>191.08280254777071</v>
      </c>
      <c r="T12" s="47">
        <v>1850</v>
      </c>
    </row>
    <row r="13" spans="1:21" ht="18" customHeight="1" thickBot="1" x14ac:dyDescent="0.35">
      <c r="A13" s="36">
        <v>4</v>
      </c>
      <c r="B13" s="170">
        <v>44566</v>
      </c>
      <c r="C13" s="214">
        <v>12.65</v>
      </c>
      <c r="D13" s="56" t="s">
        <v>49</v>
      </c>
      <c r="E13" s="14">
        <f t="shared" si="0"/>
        <v>142.29249011857706</v>
      </c>
      <c r="F13" s="214">
        <v>1400</v>
      </c>
      <c r="H13" s="36">
        <v>18</v>
      </c>
      <c r="I13" s="170">
        <v>44565</v>
      </c>
      <c r="J13" s="202">
        <v>5.38</v>
      </c>
      <c r="K13" s="69" t="s">
        <v>56</v>
      </c>
      <c r="L13" s="44">
        <f t="shared" si="1"/>
        <v>167.28624535315984</v>
      </c>
      <c r="M13" s="173">
        <v>930</v>
      </c>
      <c r="O13" s="36">
        <v>31</v>
      </c>
      <c r="P13" s="170">
        <v>44565</v>
      </c>
      <c r="Q13" s="44">
        <v>5.18</v>
      </c>
      <c r="R13" s="68" t="s">
        <v>49</v>
      </c>
      <c r="S13" s="44">
        <f t="shared" si="2"/>
        <v>173.74517374517376</v>
      </c>
      <c r="T13" s="47">
        <v>700</v>
      </c>
    </row>
    <row r="14" spans="1:21" ht="18" customHeight="1" thickBot="1" x14ac:dyDescent="0.35">
      <c r="A14" s="36">
        <v>5</v>
      </c>
      <c r="B14" s="212">
        <v>46113</v>
      </c>
      <c r="C14" s="214">
        <v>15.91</v>
      </c>
      <c r="D14" s="56" t="s">
        <v>49</v>
      </c>
      <c r="E14" s="14">
        <f t="shared" si="0"/>
        <v>113.13639220615964</v>
      </c>
      <c r="F14" s="172">
        <v>230</v>
      </c>
      <c r="H14" s="36">
        <v>19</v>
      </c>
      <c r="I14" s="170">
        <v>44566</v>
      </c>
      <c r="J14" s="203">
        <v>5.65</v>
      </c>
      <c r="K14" s="69" t="s">
        <v>49</v>
      </c>
      <c r="L14" s="44">
        <f t="shared" si="1"/>
        <v>159.29203539823007</v>
      </c>
      <c r="M14" s="218">
        <v>350</v>
      </c>
      <c r="O14" s="36">
        <v>32</v>
      </c>
      <c r="P14" s="170">
        <v>44566</v>
      </c>
      <c r="Q14" s="44">
        <v>10.91</v>
      </c>
      <c r="R14" s="68" t="s">
        <v>49</v>
      </c>
      <c r="S14" s="44">
        <f t="shared" si="2"/>
        <v>82.493125572868919</v>
      </c>
      <c r="T14" s="47">
        <v>1860</v>
      </c>
      <c r="U14" s="108"/>
    </row>
    <row r="15" spans="1:21" ht="18" customHeight="1" thickBot="1" x14ac:dyDescent="0.35">
      <c r="A15" s="36">
        <v>6</v>
      </c>
      <c r="B15" s="212">
        <v>46114</v>
      </c>
      <c r="C15" s="215">
        <v>11.68</v>
      </c>
      <c r="D15" s="56" t="s">
        <v>49</v>
      </c>
      <c r="E15" s="14">
        <f t="shared" si="0"/>
        <v>154.10958904109589</v>
      </c>
      <c r="F15" s="109">
        <v>190</v>
      </c>
      <c r="H15" s="36">
        <v>20</v>
      </c>
      <c r="I15" s="170">
        <v>44567</v>
      </c>
      <c r="J15" s="202">
        <v>5.55</v>
      </c>
      <c r="K15" s="56" t="s">
        <v>49</v>
      </c>
      <c r="L15" s="44">
        <f t="shared" si="1"/>
        <v>162.16216216216216</v>
      </c>
      <c r="M15" s="205">
        <v>810</v>
      </c>
      <c r="O15" s="36">
        <v>33</v>
      </c>
      <c r="P15" s="170">
        <v>44567</v>
      </c>
      <c r="Q15" s="44">
        <v>4.66</v>
      </c>
      <c r="R15" s="68" t="s">
        <v>49</v>
      </c>
      <c r="S15" s="44">
        <f t="shared" si="2"/>
        <v>193.13304721030042</v>
      </c>
      <c r="T15" s="47">
        <v>2400</v>
      </c>
    </row>
    <row r="16" spans="1:21" ht="18" customHeight="1" thickBot="1" x14ac:dyDescent="0.35">
      <c r="A16" s="36">
        <v>7</v>
      </c>
      <c r="B16" s="212">
        <v>46115</v>
      </c>
      <c r="C16" s="44">
        <v>27.96</v>
      </c>
      <c r="D16" s="56" t="s">
        <v>49</v>
      </c>
      <c r="E16" s="14">
        <f t="shared" si="0"/>
        <v>64.377682403433468</v>
      </c>
      <c r="F16" s="109">
        <v>180</v>
      </c>
      <c r="H16" s="36">
        <v>21</v>
      </c>
      <c r="I16" s="170">
        <v>44568</v>
      </c>
      <c r="J16" s="205">
        <v>6.23</v>
      </c>
      <c r="K16" s="70" t="s">
        <v>51</v>
      </c>
      <c r="L16" s="44">
        <f t="shared" si="1"/>
        <v>144.46227929373995</v>
      </c>
      <c r="M16" s="173">
        <v>910</v>
      </c>
      <c r="O16" s="36">
        <v>34</v>
      </c>
      <c r="P16" s="170">
        <v>44568</v>
      </c>
      <c r="Q16" s="44">
        <v>4.68</v>
      </c>
      <c r="R16" s="68" t="s">
        <v>49</v>
      </c>
      <c r="S16" s="44">
        <f t="shared" si="2"/>
        <v>192.30769230769232</v>
      </c>
      <c r="T16" s="47">
        <v>1850</v>
      </c>
    </row>
    <row r="17" spans="1:20" ht="18" customHeight="1" thickBot="1" x14ac:dyDescent="0.35">
      <c r="A17" s="36">
        <v>8</v>
      </c>
      <c r="B17" s="212">
        <v>46116</v>
      </c>
      <c r="C17" s="44">
        <v>16.71</v>
      </c>
      <c r="D17" s="56" t="s">
        <v>49</v>
      </c>
      <c r="E17" s="14">
        <f t="shared" si="0"/>
        <v>107.71992818671454</v>
      </c>
      <c r="F17" s="109">
        <v>190</v>
      </c>
      <c r="H17" s="36">
        <v>22</v>
      </c>
      <c r="I17" s="170">
        <v>44569</v>
      </c>
      <c r="J17" s="202">
        <v>7.5</v>
      </c>
      <c r="K17" s="70" t="s">
        <v>51</v>
      </c>
      <c r="L17" s="44">
        <f t="shared" si="1"/>
        <v>120</v>
      </c>
      <c r="M17" s="205">
        <v>980</v>
      </c>
      <c r="O17" s="36">
        <v>35</v>
      </c>
      <c r="P17" s="170">
        <v>44569</v>
      </c>
      <c r="Q17" s="44">
        <v>4.63</v>
      </c>
      <c r="R17" s="68" t="s">
        <v>49</v>
      </c>
      <c r="S17" s="44">
        <f t="shared" si="2"/>
        <v>194.38444924406048</v>
      </c>
      <c r="T17" s="47">
        <v>2510</v>
      </c>
    </row>
    <row r="18" spans="1:20" ht="18" customHeight="1" thickBot="1" x14ac:dyDescent="0.35">
      <c r="A18" s="36">
        <v>9</v>
      </c>
      <c r="B18" s="170">
        <v>44571</v>
      </c>
      <c r="C18" s="44">
        <v>12.15</v>
      </c>
      <c r="D18" s="56" t="s">
        <v>49</v>
      </c>
      <c r="E18" s="14">
        <f t="shared" si="0"/>
        <v>148.14814814814815</v>
      </c>
      <c r="F18" s="109">
        <v>1010</v>
      </c>
      <c r="H18" s="36">
        <v>23</v>
      </c>
      <c r="I18" s="170">
        <v>44570</v>
      </c>
      <c r="J18" s="202">
        <v>6.13</v>
      </c>
      <c r="K18" s="70" t="s">
        <v>51</v>
      </c>
      <c r="L18" s="44">
        <f t="shared" si="1"/>
        <v>146.81892332789559</v>
      </c>
      <c r="M18" s="205">
        <v>600</v>
      </c>
      <c r="O18" s="36">
        <v>36</v>
      </c>
      <c r="P18" s="170">
        <v>44570</v>
      </c>
      <c r="Q18" s="44">
        <v>4.55</v>
      </c>
      <c r="R18" s="68" t="s">
        <v>49</v>
      </c>
      <c r="S18" s="44">
        <f t="shared" si="2"/>
        <v>197.80219780219781</v>
      </c>
      <c r="T18" s="47">
        <v>1600</v>
      </c>
    </row>
    <row r="19" spans="1:20" ht="18" customHeight="1" thickBot="1" x14ac:dyDescent="0.35">
      <c r="A19" s="36">
        <v>10</v>
      </c>
      <c r="B19" s="212">
        <v>46116</v>
      </c>
      <c r="C19" s="44">
        <v>13.9</v>
      </c>
      <c r="D19" s="56" t="s">
        <v>49</v>
      </c>
      <c r="E19" s="14">
        <f t="shared" si="0"/>
        <v>129.49640287769785</v>
      </c>
      <c r="F19" s="109">
        <v>430</v>
      </c>
      <c r="H19" s="36">
        <v>24</v>
      </c>
      <c r="I19" s="170">
        <v>44571</v>
      </c>
      <c r="J19" s="206">
        <v>4.83</v>
      </c>
      <c r="K19" s="56" t="s">
        <v>49</v>
      </c>
      <c r="L19" s="44">
        <f t="shared" si="1"/>
        <v>186.33540372670808</v>
      </c>
      <c r="M19" s="205">
        <v>860</v>
      </c>
      <c r="O19" s="36">
        <v>37</v>
      </c>
      <c r="P19" s="170">
        <v>44571</v>
      </c>
      <c r="Q19" s="44">
        <v>4.9800000000000004</v>
      </c>
      <c r="R19" s="68" t="s">
        <v>49</v>
      </c>
      <c r="S19" s="44">
        <f t="shared" si="2"/>
        <v>180.72289156626505</v>
      </c>
      <c r="T19" s="47">
        <v>1400</v>
      </c>
    </row>
    <row r="20" spans="1:20" ht="18" customHeight="1" thickBot="1" x14ac:dyDescent="0.35">
      <c r="A20" s="36">
        <v>11</v>
      </c>
      <c r="B20" s="170">
        <v>44573</v>
      </c>
      <c r="C20" s="44">
        <v>13.89</v>
      </c>
      <c r="D20" s="56" t="s">
        <v>49</v>
      </c>
      <c r="E20" s="14">
        <f t="shared" si="0"/>
        <v>129.58963282937364</v>
      </c>
      <c r="F20" s="109">
        <v>1400</v>
      </c>
      <c r="H20" s="36">
        <v>25</v>
      </c>
      <c r="I20" s="170">
        <v>44572</v>
      </c>
      <c r="J20" s="202">
        <v>5.43</v>
      </c>
      <c r="K20" s="56" t="s">
        <v>56</v>
      </c>
      <c r="L20" s="44">
        <f t="shared" si="1"/>
        <v>165.74585635359117</v>
      </c>
      <c r="M20" s="217">
        <v>940</v>
      </c>
      <c r="O20" s="36">
        <v>38</v>
      </c>
      <c r="P20" s="211">
        <v>45627</v>
      </c>
      <c r="Q20" s="44">
        <v>5.0999999999999996</v>
      </c>
      <c r="R20" s="68" t="s">
        <v>49</v>
      </c>
      <c r="S20" s="44">
        <f t="shared" si="2"/>
        <v>176.47058823529412</v>
      </c>
      <c r="T20" s="47">
        <v>5400</v>
      </c>
    </row>
    <row r="21" spans="1:20" ht="18" customHeight="1" thickBot="1" x14ac:dyDescent="0.35">
      <c r="A21" s="36">
        <v>12</v>
      </c>
      <c r="B21" s="170">
        <v>44574</v>
      </c>
      <c r="C21" s="44">
        <v>13.2</v>
      </c>
      <c r="D21" s="56" t="s">
        <v>49</v>
      </c>
      <c r="E21" s="14">
        <f t="shared" si="0"/>
        <v>136.36363636363637</v>
      </c>
      <c r="F21" s="109">
        <v>1420</v>
      </c>
      <c r="H21" s="36">
        <v>26</v>
      </c>
      <c r="I21" s="170">
        <v>44562</v>
      </c>
      <c r="J21" s="204">
        <v>12.4</v>
      </c>
      <c r="K21" s="70" t="s">
        <v>51</v>
      </c>
      <c r="L21" s="44">
        <f t="shared" si="1"/>
        <v>72.58064516129032</v>
      </c>
      <c r="M21" s="217">
        <v>860</v>
      </c>
      <c r="O21" s="36">
        <v>39</v>
      </c>
      <c r="P21" s="170">
        <v>44573</v>
      </c>
      <c r="Q21" s="44">
        <v>3.9</v>
      </c>
      <c r="R21" s="68" t="s">
        <v>49</v>
      </c>
      <c r="S21" s="44">
        <f t="shared" si="2"/>
        <v>230.76923076923077</v>
      </c>
      <c r="T21" s="47">
        <v>1200</v>
      </c>
    </row>
    <row r="22" spans="1:20" ht="18" customHeight="1" thickBot="1" x14ac:dyDescent="0.35">
      <c r="A22" s="36">
        <v>13</v>
      </c>
      <c r="B22" s="212">
        <v>46116</v>
      </c>
      <c r="C22" s="44">
        <v>12.9</v>
      </c>
      <c r="D22" s="56" t="s">
        <v>56</v>
      </c>
      <c r="E22" s="14">
        <f t="shared" si="0"/>
        <v>139.53488372093022</v>
      </c>
      <c r="F22" s="109">
        <v>650</v>
      </c>
      <c r="H22" s="36">
        <v>27</v>
      </c>
      <c r="I22" s="170">
        <v>44562</v>
      </c>
      <c r="J22" s="202">
        <v>5.95</v>
      </c>
      <c r="K22" s="70" t="s">
        <v>51</v>
      </c>
      <c r="L22" s="44">
        <f t="shared" si="1"/>
        <v>151.26050420168067</v>
      </c>
      <c r="M22" s="217">
        <v>250</v>
      </c>
      <c r="O22" s="36">
        <v>40</v>
      </c>
      <c r="P22" s="171">
        <v>44574</v>
      </c>
      <c r="Q22" s="44">
        <v>4.5</v>
      </c>
      <c r="R22" s="68" t="s">
        <v>49</v>
      </c>
      <c r="S22" s="44">
        <f t="shared" si="2"/>
        <v>200</v>
      </c>
      <c r="T22" s="47">
        <v>900</v>
      </c>
    </row>
    <row r="23" spans="1:20" ht="18" customHeight="1" thickBot="1" x14ac:dyDescent="0.45">
      <c r="A23" s="36">
        <v>14</v>
      </c>
      <c r="B23" s="171">
        <v>44576</v>
      </c>
      <c r="C23" s="44">
        <v>12.5</v>
      </c>
      <c r="D23" s="56" t="s">
        <v>49</v>
      </c>
      <c r="E23" s="14">
        <f t="shared" si="0"/>
        <v>144</v>
      </c>
      <c r="F23" s="109">
        <v>1320</v>
      </c>
      <c r="H23" s="36"/>
      <c r="I23" s="60"/>
      <c r="J23" s="67"/>
      <c r="K23" s="71"/>
      <c r="L23" s="44"/>
      <c r="M23" s="65"/>
      <c r="O23" s="36"/>
      <c r="P23" s="43"/>
      <c r="Q23" s="44"/>
      <c r="R23" s="44"/>
      <c r="S23" s="14"/>
      <c r="T23" s="47"/>
    </row>
    <row r="24" spans="1:20" ht="18" customHeight="1" x14ac:dyDescent="0.4">
      <c r="A24" s="36"/>
      <c r="B24" s="13"/>
      <c r="C24" s="44"/>
      <c r="D24" s="14"/>
      <c r="E24" s="14"/>
      <c r="F24" s="47"/>
      <c r="H24" s="36"/>
      <c r="I24" s="60"/>
      <c r="J24" s="62"/>
      <c r="K24" s="70"/>
      <c r="L24" s="44"/>
      <c r="M24" s="65"/>
      <c r="O24" s="36"/>
      <c r="P24" s="43"/>
      <c r="Q24" s="44"/>
      <c r="R24" s="44"/>
      <c r="S24" s="14"/>
      <c r="T24" s="47"/>
    </row>
    <row r="25" spans="1:20" ht="18" customHeight="1" x14ac:dyDescent="0.4">
      <c r="A25" s="36"/>
      <c r="B25" s="13"/>
      <c r="C25" s="44"/>
      <c r="D25" s="14"/>
      <c r="E25" s="14"/>
      <c r="F25" s="47"/>
      <c r="H25" s="36"/>
      <c r="I25" s="60"/>
      <c r="J25" s="63"/>
      <c r="K25" s="72"/>
      <c r="L25" s="44"/>
      <c r="M25" s="73"/>
      <c r="O25" s="36"/>
      <c r="P25" s="43"/>
      <c r="Q25" s="44"/>
      <c r="R25" s="44"/>
      <c r="S25" s="14"/>
      <c r="T25" s="47"/>
    </row>
    <row r="26" spans="1:20" ht="18" customHeight="1" x14ac:dyDescent="0.3">
      <c r="A26" s="36"/>
      <c r="B26" s="13"/>
      <c r="C26" s="44"/>
      <c r="D26" s="14"/>
      <c r="E26" s="14"/>
      <c r="F26" s="47"/>
      <c r="H26" s="36"/>
      <c r="I26" s="13"/>
      <c r="J26" s="14"/>
      <c r="K26" s="14"/>
      <c r="L26" s="44"/>
      <c r="M26" s="15"/>
      <c r="O26" s="36"/>
      <c r="P26" s="43"/>
      <c r="Q26" s="44"/>
      <c r="R26" s="44"/>
      <c r="S26" s="14"/>
      <c r="T26" s="47"/>
    </row>
    <row r="27" spans="1:20" ht="18" customHeight="1" x14ac:dyDescent="0.3">
      <c r="A27" s="36"/>
      <c r="B27" s="13"/>
      <c r="C27" s="44"/>
      <c r="D27" s="14"/>
      <c r="E27" s="14"/>
      <c r="F27" s="47"/>
      <c r="H27" s="36"/>
      <c r="I27" s="13"/>
      <c r="J27" s="14"/>
      <c r="K27" s="14"/>
      <c r="L27" s="44"/>
      <c r="M27" s="15"/>
      <c r="O27" s="36"/>
      <c r="P27" s="43"/>
      <c r="Q27" s="44"/>
      <c r="R27" s="44"/>
      <c r="S27" s="14"/>
      <c r="T27" s="47"/>
    </row>
    <row r="28" spans="1:20" ht="18" customHeight="1" x14ac:dyDescent="0.3">
      <c r="A28" s="36"/>
      <c r="B28" s="13"/>
      <c r="C28" s="44"/>
      <c r="D28" s="14"/>
      <c r="E28" s="14"/>
      <c r="F28" s="47"/>
      <c r="H28" s="36"/>
      <c r="I28" s="13"/>
      <c r="J28" s="14"/>
      <c r="K28" s="14"/>
      <c r="L28" s="44"/>
      <c r="M28" s="15"/>
      <c r="O28" s="36"/>
      <c r="P28" s="43"/>
      <c r="Q28" s="44"/>
      <c r="R28" s="44"/>
      <c r="S28" s="14"/>
      <c r="T28" s="47"/>
    </row>
    <row r="29" spans="1:20" ht="18" customHeight="1" x14ac:dyDescent="0.3">
      <c r="A29" s="36"/>
      <c r="B29" s="13"/>
      <c r="C29" s="44"/>
      <c r="D29" s="14"/>
      <c r="E29" s="14"/>
      <c r="F29" s="47"/>
      <c r="H29" s="36"/>
      <c r="I29" s="13"/>
      <c r="J29" s="14"/>
      <c r="K29" s="14"/>
      <c r="L29" s="44"/>
      <c r="M29" s="15"/>
      <c r="O29" s="36"/>
      <c r="P29" s="43"/>
      <c r="Q29" s="44"/>
      <c r="R29" s="44"/>
      <c r="S29" s="14"/>
      <c r="T29" s="47"/>
    </row>
    <row r="30" spans="1:20" ht="18" customHeight="1" x14ac:dyDescent="0.3">
      <c r="A30" s="36"/>
      <c r="B30" s="13"/>
      <c r="C30" s="44"/>
      <c r="D30" s="14"/>
      <c r="E30" s="14"/>
      <c r="F30" s="47"/>
      <c r="H30" s="36"/>
      <c r="I30" s="13"/>
      <c r="J30" s="14"/>
      <c r="K30" s="14"/>
      <c r="L30" s="44"/>
      <c r="M30" s="15"/>
      <c r="O30" s="36"/>
      <c r="P30" s="43"/>
      <c r="Q30" s="44"/>
      <c r="R30" s="44"/>
      <c r="S30" s="14"/>
      <c r="T30" s="47"/>
    </row>
    <row r="31" spans="1:20" ht="18" customHeight="1" x14ac:dyDescent="0.3">
      <c r="A31" s="36"/>
      <c r="B31" s="13"/>
      <c r="C31" s="44"/>
      <c r="D31" s="14"/>
      <c r="E31" s="14"/>
      <c r="F31" s="47"/>
      <c r="H31" s="36"/>
      <c r="I31" s="13"/>
      <c r="J31" s="14"/>
      <c r="K31" s="14"/>
      <c r="L31" s="44"/>
      <c r="M31" s="15"/>
      <c r="O31" s="36"/>
      <c r="P31" s="43"/>
      <c r="Q31" s="44"/>
      <c r="R31" s="44"/>
      <c r="S31" s="14"/>
      <c r="T31" s="47"/>
    </row>
    <row r="32" spans="1:20" ht="18" customHeight="1" thickBot="1" x14ac:dyDescent="0.35">
      <c r="A32" s="37"/>
      <c r="B32" s="16"/>
      <c r="C32" s="101"/>
      <c r="D32" s="17"/>
      <c r="E32" s="14"/>
      <c r="F32" s="48"/>
      <c r="H32" s="36"/>
      <c r="I32" s="16"/>
      <c r="J32" s="19"/>
      <c r="K32" s="19"/>
      <c r="L32" s="44"/>
      <c r="M32" s="18"/>
      <c r="O32" s="36"/>
      <c r="P32" s="45"/>
      <c r="Q32" s="46"/>
      <c r="R32" s="46"/>
      <c r="S32" s="14"/>
      <c r="T32" s="48"/>
    </row>
    <row r="33" spans="1:20" x14ac:dyDescent="0.3">
      <c r="C33" s="139" t="s">
        <v>14</v>
      </c>
      <c r="D33" s="140"/>
      <c r="E33" s="9">
        <f>SUM(E10:E23)</f>
        <v>1839.3617676466479</v>
      </c>
      <c r="J33" s="139" t="s">
        <v>14</v>
      </c>
      <c r="K33" s="140"/>
      <c r="L33" s="83">
        <f>SUM(L10:L25)</f>
        <v>1968.5504890706784</v>
      </c>
      <c r="Q33" s="139" t="s">
        <v>14</v>
      </c>
      <c r="R33" s="140"/>
      <c r="S33" s="9">
        <f>SUM(S10:S22)</f>
        <v>2365.2478762702453</v>
      </c>
      <c r="T33" s="8"/>
    </row>
    <row r="34" spans="1:20" ht="15" thickBot="1" x14ac:dyDescent="0.35">
      <c r="C34" s="143" t="s">
        <v>15</v>
      </c>
      <c r="D34" s="144"/>
      <c r="E34" s="80">
        <f>IFERROR(ROUND(AVERAGE(E10:E32),0),"")</f>
        <v>131</v>
      </c>
      <c r="J34" s="143" t="s">
        <v>15</v>
      </c>
      <c r="K34" s="144"/>
      <c r="L34" s="80">
        <f>IFERROR(ROUND(AVERAGE(L10:L32),0),"")</f>
        <v>151</v>
      </c>
      <c r="Q34" s="143" t="s">
        <v>15</v>
      </c>
      <c r="R34" s="144"/>
      <c r="S34" s="80">
        <f>IFERROR(ROUND(AVERAGE(S10:S32),0),"")</f>
        <v>182</v>
      </c>
      <c r="T34" s="8"/>
    </row>
    <row r="35" spans="1:20" ht="9.75" customHeight="1" thickBot="1" x14ac:dyDescent="0.35">
      <c r="T35" s="8"/>
    </row>
    <row r="36" spans="1:20" ht="15" customHeight="1" x14ac:dyDescent="0.3">
      <c r="A36" s="21"/>
      <c r="C36" s="145" t="s">
        <v>16</v>
      </c>
      <c r="D36" s="146"/>
      <c r="E36" s="147"/>
      <c r="H36" s="39" t="s">
        <v>17</v>
      </c>
      <c r="I36" s="51">
        <v>5300</v>
      </c>
      <c r="J36" s="22" t="s">
        <v>18</v>
      </c>
      <c r="L36" s="84"/>
      <c r="T36" s="8"/>
    </row>
    <row r="37" spans="1:20" ht="16.8" customHeight="1" x14ac:dyDescent="0.3">
      <c r="A37" s="24"/>
      <c r="C37" s="102" t="s">
        <v>19</v>
      </c>
      <c r="D37" s="173">
        <v>0</v>
      </c>
      <c r="E37" s="26" t="s">
        <v>20</v>
      </c>
      <c r="H37" s="40" t="s">
        <v>21</v>
      </c>
      <c r="I37" s="44">
        <v>1700</v>
      </c>
      <c r="J37" s="27" t="s">
        <v>18</v>
      </c>
      <c r="L37" s="85"/>
      <c r="T37" s="8"/>
    </row>
    <row r="38" spans="1:20" ht="15.6" x14ac:dyDescent="0.3">
      <c r="C38" s="102" t="s">
        <v>52</v>
      </c>
      <c r="D38" s="173">
        <v>5.0999999999999996</v>
      </c>
      <c r="E38" s="26" t="s">
        <v>20</v>
      </c>
      <c r="H38" s="40" t="s">
        <v>23</v>
      </c>
      <c r="I38" s="44">
        <v>7.4</v>
      </c>
      <c r="J38" s="27" t="s">
        <v>24</v>
      </c>
      <c r="T38" s="8"/>
    </row>
    <row r="39" spans="1:20" ht="15" customHeight="1" x14ac:dyDescent="0.3">
      <c r="C39" s="102" t="s">
        <v>22</v>
      </c>
      <c r="D39" s="173">
        <v>4.8</v>
      </c>
      <c r="E39" s="26" t="s">
        <v>20</v>
      </c>
      <c r="H39" s="40" t="s">
        <v>26</v>
      </c>
      <c r="I39" s="44">
        <v>38.5</v>
      </c>
      <c r="J39" s="27" t="s">
        <v>27</v>
      </c>
      <c r="T39" s="8"/>
    </row>
    <row r="40" spans="1:20" ht="13.8" customHeight="1" x14ac:dyDescent="0.3">
      <c r="C40" s="102" t="s">
        <v>25</v>
      </c>
      <c r="D40" s="173">
        <v>4.3</v>
      </c>
      <c r="E40" s="26" t="s">
        <v>20</v>
      </c>
      <c r="H40" s="40" t="s">
        <v>29</v>
      </c>
      <c r="I40" s="44">
        <v>1840</v>
      </c>
      <c r="J40" s="27" t="s">
        <v>30</v>
      </c>
      <c r="T40" s="8"/>
    </row>
    <row r="41" spans="1:20" ht="13.2" customHeight="1" x14ac:dyDescent="0.3">
      <c r="C41" s="102" t="s">
        <v>28</v>
      </c>
      <c r="D41" s="173">
        <v>34</v>
      </c>
      <c r="E41" s="26" t="s">
        <v>20</v>
      </c>
      <c r="H41" s="40" t="s">
        <v>32</v>
      </c>
      <c r="I41" s="44">
        <v>1968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3.2" customHeight="1" x14ac:dyDescent="0.3">
      <c r="C42" s="102" t="s">
        <v>31</v>
      </c>
      <c r="D42" s="173">
        <v>35</v>
      </c>
      <c r="E42" s="26" t="s">
        <v>20</v>
      </c>
      <c r="H42" s="40" t="s">
        <v>48</v>
      </c>
      <c r="I42" s="44">
        <v>2365</v>
      </c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3.2" customHeight="1" x14ac:dyDescent="0.3">
      <c r="C43" s="102" t="s">
        <v>58</v>
      </c>
      <c r="D43" s="173">
        <v>36</v>
      </c>
      <c r="E43" s="26"/>
      <c r="H43" s="40" t="s">
        <v>37</v>
      </c>
      <c r="I43" s="44">
        <v>6173</v>
      </c>
      <c r="J43" s="27" t="s">
        <v>30</v>
      </c>
      <c r="L43" s="78"/>
      <c r="M43" s="78"/>
      <c r="P43" s="78"/>
      <c r="Q43" s="78"/>
      <c r="R43" s="78"/>
      <c r="S43" s="78"/>
      <c r="T43" s="79"/>
    </row>
    <row r="44" spans="1:20" ht="13.2" customHeight="1" thickBot="1" x14ac:dyDescent="0.35">
      <c r="C44" s="102" t="s">
        <v>36</v>
      </c>
      <c r="D44" s="173">
        <v>30</v>
      </c>
      <c r="E44" s="26" t="s">
        <v>20</v>
      </c>
      <c r="H44" s="97" t="s">
        <v>42</v>
      </c>
      <c r="I44" s="44">
        <v>11100</v>
      </c>
      <c r="J44" s="93" t="s">
        <v>18</v>
      </c>
      <c r="T44" s="8"/>
    </row>
    <row r="45" spans="1:20" ht="16.2" customHeight="1" thickBot="1" x14ac:dyDescent="0.35">
      <c r="C45" s="103" t="s">
        <v>41</v>
      </c>
      <c r="D45" s="219">
        <v>0.7</v>
      </c>
      <c r="E45" s="88" t="s">
        <v>20</v>
      </c>
      <c r="H45" s="99" t="s">
        <v>44</v>
      </c>
      <c r="I45" s="96">
        <v>9.8000000000000007</v>
      </c>
      <c r="J45" s="94" t="s">
        <v>45</v>
      </c>
      <c r="T45" s="8"/>
    </row>
    <row r="46" spans="1:20" ht="15.6" customHeight="1" thickBot="1" x14ac:dyDescent="0.35">
      <c r="C46" s="107" t="s">
        <v>43</v>
      </c>
      <c r="D46" s="220">
        <v>0</v>
      </c>
      <c r="E46" s="106" t="s">
        <v>20</v>
      </c>
      <c r="H46" s="98" t="s">
        <v>46</v>
      </c>
      <c r="I46" s="92">
        <v>6.1</v>
      </c>
      <c r="J46" s="95" t="s">
        <v>45</v>
      </c>
      <c r="T46" s="8"/>
    </row>
    <row r="47" spans="1:20" ht="15" thickBot="1" x14ac:dyDescent="0.35">
      <c r="A47" s="31"/>
      <c r="B47" s="32"/>
      <c r="C47" s="42"/>
      <c r="D47" s="32"/>
      <c r="E47" s="32"/>
      <c r="F47" s="42"/>
      <c r="G47" s="32"/>
      <c r="H47" s="7"/>
      <c r="K47" s="32"/>
      <c r="L47" s="42"/>
      <c r="M47" s="32"/>
      <c r="N47" s="32"/>
      <c r="O47" s="42"/>
      <c r="P47" s="32"/>
      <c r="Q47" s="32"/>
      <c r="R47" s="32"/>
      <c r="S47" s="32"/>
      <c r="T47" s="34"/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conditionalFormatting sqref="F10:F12 F15:F23">
    <cfRule type="cellIs" dxfId="26" priority="22" operator="greaterThan">
      <formula>2000</formula>
    </cfRule>
  </conditionalFormatting>
  <conditionalFormatting sqref="F14">
    <cfRule type="cellIs" dxfId="25" priority="19" operator="greaterThan">
      <formula>2499</formula>
    </cfRule>
    <cfRule type="cellIs" dxfId="24" priority="20" operator="equal">
      <formula>2000</formula>
    </cfRule>
    <cfRule type="cellIs" dxfId="23" priority="21" stopIfTrue="1" operator="greaterThan">
      <formula>3500</formula>
    </cfRule>
  </conditionalFormatting>
  <conditionalFormatting sqref="M13:M14">
    <cfRule type="cellIs" dxfId="22" priority="1" operator="greaterThan">
      <formula>2499</formula>
    </cfRule>
    <cfRule type="cellIs" dxfId="21" priority="2" operator="equal">
      <formula>2000</formula>
    </cfRule>
    <cfRule type="cellIs" dxfId="20" priority="3" stopIfTrue="1" operator="greaterThan">
      <formula>3500</formula>
    </cfRule>
  </conditionalFormatting>
  <conditionalFormatting sqref="M16">
    <cfRule type="cellIs" dxfId="19" priority="10" operator="greaterThan">
      <formula>2499</formula>
    </cfRule>
    <cfRule type="cellIs" dxfId="18" priority="11" operator="equal">
      <formula>2000</formula>
    </cfRule>
    <cfRule type="cellIs" dxfId="17" priority="12" stopIfTrue="1" operator="greaterThan">
      <formula>3500</formula>
    </cfRule>
  </conditionalFormatting>
  <conditionalFormatting sqref="M17:M22">
    <cfRule type="cellIs" dxfId="16" priority="13" operator="greaterThan">
      <formula>2500</formula>
    </cfRule>
    <cfRule type="cellIs" dxfId="15" priority="14" operator="greaterThan">
      <formula>2685</formula>
    </cfRule>
    <cfRule type="cellIs" dxfId="14" priority="15" operator="greaterThan">
      <formula>5000</formula>
    </cfRule>
  </conditionalFormatting>
  <conditionalFormatting sqref="M24">
    <cfRule type="cellIs" dxfId="13" priority="4" operator="greaterThan">
      <formula>2500</formula>
    </cfRule>
    <cfRule type="cellIs" dxfId="12" priority="5" operator="greaterThan">
      <formula>2685</formula>
    </cfRule>
    <cfRule type="cellIs" dxfId="11" priority="6" operator="greaterThan">
      <formula>5000</formula>
    </cfRule>
  </conditionalFormatting>
  <dataValidations count="9">
    <dataValidation type="list" allowBlank="1" showErrorMessage="1" errorTitle="Stage" error="Pick the stage from the list." sqref="A8 H8 O8" xr:uid="{7F783977-892C-480E-AA26-3E095A973CB1}">
      <formula1>"I STAGE,II STAGE,III STAGE,IV STAGE"</formula1>
    </dataValidation>
    <dataValidation type="list" showErrorMessage="1" errorTitle="Zone" error="Pick a zone from the list." sqref="C5" xr:uid="{5EB2B115-4ABF-4355-AC0C-60898732909E}">
      <formula1>"Ahmedabad,Vadodara,Ankleshwar,Panoli,Jhagadia,Dahej,Vapi"</formula1>
    </dataValidation>
    <dataValidation type="list" allowBlank="1" sqref="D10:D32 K10:K32 R10:R32" xr:uid="{AC9736B0-45BF-40EF-82B6-C7F3D90DAB39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9248252F-845B-4A25-B793-C79F25A45715}">
      <formula1>1</formula1>
    </dataValidation>
    <dataValidation type="date" operator="greaterThan" allowBlank="1" showErrorMessage="1" errorTitle="Date" error="Enter a real date." sqref="B10:B32 I3 I10:I32 P10:P32" xr:uid="{7BBD127F-F03F-491C-922D-CDAFD48861EE}">
      <formula1>DATE(2000,1,1)</formula1>
    </dataValidation>
    <dataValidation type="decimal" operator="greaterThanOrEqual" allowBlank="1" showErrorMessage="1" errorTitle="Flow" error="Flow must be a number &gt;= 0." sqref="L10:L32 E10:E32 J10:J32 C10:C32 Q10:Q32 S10:S32" xr:uid="{CFB96D0C-7BB9-4C95-836B-48326B7C97A2}">
      <formula1>0</formula1>
    </dataValidation>
    <dataValidation type="decimal" allowBlank="1" showErrorMessage="1" errorTitle="Conductivity" error="Conductivity must be 0..50000 us/cm." sqref="M10:M32 T10:T32 F10:F32" xr:uid="{87C28E16-A795-4C0D-93B1-2A6A778E703E}">
      <formula1>0</formula1>
      <formula2>50000</formula2>
    </dataValidation>
    <dataValidation type="decimal" operator="greaterThanOrEqual" allowBlank="1" showErrorMessage="1" errorTitle="Value" error="Value must be a number &gt;= 0." sqref="D37:D46 I36:I46" xr:uid="{455A4F83-771C-49F6-B5DC-D9DA4B1BFC43}">
      <formula1>0</formula1>
    </dataValidation>
    <dataValidation type="whole" operator="greaterThanOrEqual" showErrorMessage="1" errorTitle="Plant SR No" error="Plant SR No must be a whole number &gt;= 1." sqref="C4" xr:uid="{9D57670E-5540-46C7-9DD6-6F280DB89F59}">
      <formula1>1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B7BB-8823-430E-8A16-1F765ED6F117}">
  <dimension ref="A1:U46"/>
  <sheetViews>
    <sheetView workbookViewId="0">
      <selection activeCell="H13" sqref="H13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4" width="13" style="7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1.77734375" style="7" customWidth="1"/>
    <col min="12" max="12" width="8.6640625" style="38" customWidth="1"/>
    <col min="13" max="13" width="10.6640625" style="38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59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62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55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211">
        <v>45413</v>
      </c>
      <c r="C10" s="44">
        <v>8.5299999999999994</v>
      </c>
      <c r="D10" s="56" t="s">
        <v>49</v>
      </c>
      <c r="E10" s="44">
        <f>1800/C10</f>
        <v>211.01992966002345</v>
      </c>
      <c r="F10" s="47">
        <v>300</v>
      </c>
      <c r="H10" s="36">
        <v>24</v>
      </c>
      <c r="I10" s="211">
        <v>45597</v>
      </c>
      <c r="J10" s="44">
        <v>27.2</v>
      </c>
      <c r="K10" s="56" t="s">
        <v>49</v>
      </c>
      <c r="L10" s="44">
        <f>900/J10</f>
        <v>33.088235294117645</v>
      </c>
      <c r="M10" s="47">
        <v>900</v>
      </c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thickBot="1" x14ac:dyDescent="0.35">
      <c r="A11" s="36">
        <v>2</v>
      </c>
      <c r="B11" s="211">
        <v>45383</v>
      </c>
      <c r="C11" s="44">
        <v>12.25</v>
      </c>
      <c r="D11" s="56" t="s">
        <v>49</v>
      </c>
      <c r="E11" s="44">
        <f t="shared" ref="E11:E14" si="0">1800/C11</f>
        <v>146.9387755102041</v>
      </c>
      <c r="F11" s="47">
        <v>600</v>
      </c>
      <c r="H11" s="36">
        <v>25</v>
      </c>
      <c r="I11" s="211">
        <v>45413</v>
      </c>
      <c r="J11" s="44">
        <v>14.03</v>
      </c>
      <c r="K11" s="56" t="s">
        <v>56</v>
      </c>
      <c r="L11" s="44">
        <f t="shared" ref="L11:L19" si="1">900/J11</f>
        <v>64.148253741981478</v>
      </c>
      <c r="M11" s="109">
        <v>700</v>
      </c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thickBot="1" x14ac:dyDescent="0.35">
      <c r="A12" s="36">
        <v>3</v>
      </c>
      <c r="B12" s="211">
        <v>45415</v>
      </c>
      <c r="C12" s="44">
        <v>11.9</v>
      </c>
      <c r="D12" s="56" t="s">
        <v>49</v>
      </c>
      <c r="E12" s="44">
        <f t="shared" si="0"/>
        <v>151.26050420168067</v>
      </c>
      <c r="F12" s="47">
        <v>500</v>
      </c>
      <c r="H12" s="36">
        <v>26</v>
      </c>
      <c r="I12" s="170">
        <v>44562</v>
      </c>
      <c r="J12" s="44">
        <v>19.91</v>
      </c>
      <c r="K12" s="56" t="s">
        <v>56</v>
      </c>
      <c r="L12" s="44">
        <f t="shared" si="1"/>
        <v>45.203415369161227</v>
      </c>
      <c r="M12" s="109">
        <v>3000</v>
      </c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thickBot="1" x14ac:dyDescent="0.35">
      <c r="A13" s="36">
        <v>4</v>
      </c>
      <c r="B13" s="211">
        <v>45597</v>
      </c>
      <c r="C13" s="44">
        <v>15.25</v>
      </c>
      <c r="D13" s="56" t="s">
        <v>49</v>
      </c>
      <c r="E13" s="44">
        <f t="shared" si="0"/>
        <v>118.0327868852459</v>
      </c>
      <c r="F13" s="47">
        <v>300</v>
      </c>
      <c r="H13" s="36">
        <v>27</v>
      </c>
      <c r="I13" s="211">
        <v>45597</v>
      </c>
      <c r="J13" s="44">
        <v>13.31</v>
      </c>
      <c r="K13" s="56" t="s">
        <v>56</v>
      </c>
      <c r="L13" s="44">
        <f t="shared" si="1"/>
        <v>67.618332081142</v>
      </c>
      <c r="M13" s="109">
        <v>2300</v>
      </c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thickBot="1" x14ac:dyDescent="0.35">
      <c r="A14" s="36">
        <v>5</v>
      </c>
      <c r="B14" s="211">
        <v>45413</v>
      </c>
      <c r="C14" s="44">
        <v>12.47</v>
      </c>
      <c r="D14" s="56" t="s">
        <v>49</v>
      </c>
      <c r="E14" s="44">
        <f t="shared" si="0"/>
        <v>144.34643143544506</v>
      </c>
      <c r="F14" s="47">
        <v>1010</v>
      </c>
      <c r="H14" s="36">
        <v>28</v>
      </c>
      <c r="I14" s="211">
        <v>45597</v>
      </c>
      <c r="J14" s="44">
        <v>14.03</v>
      </c>
      <c r="K14" s="56" t="s">
        <v>56</v>
      </c>
      <c r="L14" s="44">
        <f t="shared" si="1"/>
        <v>64.148253741981478</v>
      </c>
      <c r="M14" s="109">
        <v>2400</v>
      </c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thickBot="1" x14ac:dyDescent="0.35">
      <c r="A15" s="36">
        <v>6</v>
      </c>
      <c r="B15" s="13"/>
      <c r="C15" s="14"/>
      <c r="D15" s="14"/>
      <c r="E15" s="14"/>
      <c r="F15" s="15"/>
      <c r="H15" s="36">
        <v>29</v>
      </c>
      <c r="I15" s="211">
        <v>45413</v>
      </c>
      <c r="J15" s="44">
        <v>8.84</v>
      </c>
      <c r="K15" s="56" t="s">
        <v>56</v>
      </c>
      <c r="L15" s="44">
        <f t="shared" si="1"/>
        <v>101.80995475113123</v>
      </c>
      <c r="M15" s="109">
        <v>500</v>
      </c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thickBot="1" x14ac:dyDescent="0.35">
      <c r="A16" s="36">
        <v>7</v>
      </c>
      <c r="B16" s="13"/>
      <c r="C16" s="14"/>
      <c r="D16" s="14"/>
      <c r="E16" s="14"/>
      <c r="F16" s="15"/>
      <c r="H16" s="36">
        <v>30</v>
      </c>
      <c r="I16" s="211">
        <v>45568</v>
      </c>
      <c r="J16" s="44">
        <v>12.87</v>
      </c>
      <c r="K16" s="56" t="s">
        <v>56</v>
      </c>
      <c r="L16" s="44">
        <f t="shared" si="1"/>
        <v>69.930069930069934</v>
      </c>
      <c r="M16" s="109">
        <v>700</v>
      </c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thickBot="1" x14ac:dyDescent="0.35">
      <c r="A17" s="36">
        <v>8</v>
      </c>
      <c r="B17" s="13"/>
      <c r="C17" s="14"/>
      <c r="D17" s="14"/>
      <c r="E17" s="14"/>
      <c r="F17" s="15"/>
      <c r="H17" s="36">
        <v>31</v>
      </c>
      <c r="I17" s="170">
        <v>44562</v>
      </c>
      <c r="J17" s="44">
        <v>16.32</v>
      </c>
      <c r="K17" s="56" t="s">
        <v>56</v>
      </c>
      <c r="L17" s="44">
        <f t="shared" si="1"/>
        <v>55.147058823529413</v>
      </c>
      <c r="M17" s="109">
        <v>2400</v>
      </c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thickBot="1" x14ac:dyDescent="0.35">
      <c r="A18" s="36">
        <v>9</v>
      </c>
      <c r="B18" s="13"/>
      <c r="C18" s="14"/>
      <c r="D18" s="14"/>
      <c r="E18" s="14"/>
      <c r="F18" s="15"/>
      <c r="H18" s="36">
        <v>32</v>
      </c>
      <c r="I18" s="211">
        <v>45658</v>
      </c>
      <c r="J18" s="44">
        <v>10.220000000000001</v>
      </c>
      <c r="K18" s="56" t="s">
        <v>56</v>
      </c>
      <c r="L18" s="44">
        <f t="shared" si="1"/>
        <v>88.06262230919765</v>
      </c>
      <c r="M18" s="109">
        <v>1200</v>
      </c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thickBot="1" x14ac:dyDescent="0.35">
      <c r="A19" s="36">
        <v>10</v>
      </c>
      <c r="B19" s="13"/>
      <c r="C19" s="14"/>
      <c r="D19" s="14"/>
      <c r="E19" s="14"/>
      <c r="F19" s="15"/>
      <c r="H19" s="36">
        <v>33</v>
      </c>
      <c r="I19" s="211">
        <v>45564</v>
      </c>
      <c r="J19" s="44">
        <v>14.01</v>
      </c>
      <c r="K19" s="56" t="s">
        <v>56</v>
      </c>
      <c r="L19" s="44">
        <f t="shared" si="1"/>
        <v>64.239828693790145</v>
      </c>
      <c r="M19" s="109">
        <v>1500</v>
      </c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3">
      <c r="A20" s="36">
        <v>11</v>
      </c>
      <c r="B20" s="13"/>
      <c r="C20" s="14"/>
      <c r="D20" s="14"/>
      <c r="E20" s="14"/>
      <c r="F20" s="15"/>
      <c r="H20" s="36">
        <v>34</v>
      </c>
      <c r="I20" s="13"/>
      <c r="J20" s="14"/>
      <c r="K20" s="14"/>
      <c r="L20" s="44"/>
      <c r="M20" s="47"/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3">
      <c r="A21" s="36">
        <v>12</v>
      </c>
      <c r="B21" s="13"/>
      <c r="C21" s="14"/>
      <c r="D21" s="14"/>
      <c r="E21" s="14"/>
      <c r="F21" s="15"/>
      <c r="H21" s="36">
        <v>35</v>
      </c>
      <c r="I21" s="13"/>
      <c r="J21" s="14"/>
      <c r="K21" s="14"/>
      <c r="L21" s="44"/>
      <c r="M21" s="47"/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>
        <v>13</v>
      </c>
      <c r="B22" s="13"/>
      <c r="C22" s="14"/>
      <c r="D22" s="14"/>
      <c r="E22" s="14"/>
      <c r="F22" s="15"/>
      <c r="H22" s="36">
        <v>36</v>
      </c>
      <c r="I22" s="13"/>
      <c r="J22" s="14"/>
      <c r="K22" s="14"/>
      <c r="L22" s="44"/>
      <c r="M22" s="47"/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>
        <v>14</v>
      </c>
      <c r="B23" s="13"/>
      <c r="C23" s="14"/>
      <c r="D23" s="14"/>
      <c r="E23" s="14"/>
      <c r="F23" s="15"/>
      <c r="H23" s="36">
        <v>37</v>
      </c>
      <c r="I23" s="13"/>
      <c r="J23" s="14"/>
      <c r="K23" s="14"/>
      <c r="L23" s="44"/>
      <c r="M23" s="47"/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>
        <v>15</v>
      </c>
      <c r="B24" s="13"/>
      <c r="C24" s="14"/>
      <c r="D24" s="14"/>
      <c r="E24" s="14"/>
      <c r="F24" s="15"/>
      <c r="H24" s="36">
        <v>38</v>
      </c>
      <c r="I24" s="13"/>
      <c r="J24" s="14"/>
      <c r="K24" s="14"/>
      <c r="L24" s="44"/>
      <c r="M24" s="47"/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>
        <v>16</v>
      </c>
      <c r="B25" s="13"/>
      <c r="C25" s="14"/>
      <c r="D25" s="14"/>
      <c r="E25" s="14"/>
      <c r="F25" s="15"/>
      <c r="H25" s="36">
        <v>39</v>
      </c>
      <c r="I25" s="13"/>
      <c r="J25" s="14"/>
      <c r="K25" s="14"/>
      <c r="L25" s="44"/>
      <c r="M25" s="47"/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>
        <v>17</v>
      </c>
      <c r="B26" s="13"/>
      <c r="C26" s="14"/>
      <c r="D26" s="14"/>
      <c r="E26" s="14"/>
      <c r="F26" s="15"/>
      <c r="H26" s="36">
        <v>40</v>
      </c>
      <c r="I26" s="13"/>
      <c r="J26" s="14"/>
      <c r="K26" s="14"/>
      <c r="L26" s="44"/>
      <c r="M26" s="47"/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>
        <v>18</v>
      </c>
      <c r="B27" s="13"/>
      <c r="C27" s="14"/>
      <c r="D27" s="14"/>
      <c r="E27" s="14"/>
      <c r="F27" s="15"/>
      <c r="H27" s="36">
        <v>41</v>
      </c>
      <c r="I27" s="13"/>
      <c r="J27" s="14"/>
      <c r="K27" s="14"/>
      <c r="L27" s="44"/>
      <c r="M27" s="47"/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>
        <v>19</v>
      </c>
      <c r="B28" s="13"/>
      <c r="C28" s="14"/>
      <c r="D28" s="14"/>
      <c r="E28" s="14"/>
      <c r="F28" s="15"/>
      <c r="H28" s="36">
        <v>42</v>
      </c>
      <c r="I28" s="13"/>
      <c r="J28" s="14"/>
      <c r="K28" s="14"/>
      <c r="L28" s="44"/>
      <c r="M28" s="47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>
        <v>20</v>
      </c>
      <c r="B29" s="13"/>
      <c r="C29" s="14"/>
      <c r="D29" s="14"/>
      <c r="E29" s="14"/>
      <c r="F29" s="15"/>
      <c r="H29" s="36">
        <v>43</v>
      </c>
      <c r="I29" s="13"/>
      <c r="J29" s="14"/>
      <c r="K29" s="14"/>
      <c r="L29" s="44"/>
      <c r="M29" s="47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>
        <v>21</v>
      </c>
      <c r="B30" s="13"/>
      <c r="C30" s="14"/>
      <c r="D30" s="14"/>
      <c r="E30" s="14"/>
      <c r="F30" s="15"/>
      <c r="H30" s="36">
        <v>44</v>
      </c>
      <c r="I30" s="13"/>
      <c r="J30" s="14"/>
      <c r="K30" s="14"/>
      <c r="L30" s="44"/>
      <c r="M30" s="47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>
        <v>22</v>
      </c>
      <c r="B31" s="13"/>
      <c r="C31" s="14"/>
      <c r="D31" s="14"/>
      <c r="E31" s="14"/>
      <c r="F31" s="15"/>
      <c r="H31" s="36">
        <v>45</v>
      </c>
      <c r="I31" s="13"/>
      <c r="J31" s="14"/>
      <c r="K31" s="14"/>
      <c r="L31" s="44"/>
      <c r="M31" s="47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>
        <v>23</v>
      </c>
      <c r="B32" s="16"/>
      <c r="C32" s="17"/>
      <c r="D32" s="17"/>
      <c r="E32" s="14"/>
      <c r="F32" s="18"/>
      <c r="H32" s="36">
        <v>46</v>
      </c>
      <c r="I32" s="16"/>
      <c r="J32" s="19"/>
      <c r="K32" s="19"/>
      <c r="L32" s="44"/>
      <c r="M32" s="4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83">
        <f>SUM(E10:E14)</f>
        <v>771.5984276925991</v>
      </c>
      <c r="J33" s="139" t="s">
        <v>14</v>
      </c>
      <c r="K33" s="140"/>
      <c r="L33" s="83">
        <f>SUM(L10:L19)</f>
        <v>653.39602473610216</v>
      </c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80">
        <f>IFERROR(ROUND(AVERAGE(E10:E32),0),"")</f>
        <v>154</v>
      </c>
      <c r="J34" s="143" t="s">
        <v>15</v>
      </c>
      <c r="K34" s="144"/>
      <c r="L34" s="80">
        <f>IFERROR(ROUND(AVERAGE(L10:L32),0),"")</f>
        <v>65</v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>
        <v>9800</v>
      </c>
      <c r="J36" s="22" t="s">
        <v>18</v>
      </c>
      <c r="L36" s="84"/>
      <c r="T36" s="8"/>
    </row>
    <row r="37" spans="1:20" ht="15.6" x14ac:dyDescent="0.3">
      <c r="A37" s="24"/>
      <c r="C37" s="25" t="s">
        <v>19</v>
      </c>
      <c r="D37" s="49">
        <v>0.8</v>
      </c>
      <c r="E37" s="26" t="s">
        <v>20</v>
      </c>
      <c r="H37" s="40" t="s">
        <v>21</v>
      </c>
      <c r="I37" s="44">
        <v>1800</v>
      </c>
      <c r="J37" s="27" t="s">
        <v>18</v>
      </c>
      <c r="L37" s="85"/>
      <c r="T37" s="8"/>
    </row>
    <row r="38" spans="1:20" ht="15.6" x14ac:dyDescent="0.3">
      <c r="A38" s="6"/>
      <c r="C38" s="25" t="s">
        <v>52</v>
      </c>
      <c r="D38" s="49">
        <v>5.2</v>
      </c>
      <c r="E38" s="26" t="s">
        <v>20</v>
      </c>
      <c r="H38" s="40" t="s">
        <v>23</v>
      </c>
      <c r="I38" s="44">
        <v>7.2</v>
      </c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49">
        <v>0</v>
      </c>
      <c r="E39" s="26" t="s">
        <v>20</v>
      </c>
      <c r="H39" s="40" t="s">
        <v>26</v>
      </c>
      <c r="I39" s="44">
        <v>39.5</v>
      </c>
      <c r="J39" s="27" t="s">
        <v>27</v>
      </c>
      <c r="T39" s="8"/>
    </row>
    <row r="40" spans="1:20" ht="15.6" x14ac:dyDescent="0.3">
      <c r="A40" s="6"/>
      <c r="C40" s="25" t="s">
        <v>25</v>
      </c>
      <c r="D40" s="49">
        <v>5</v>
      </c>
      <c r="E40" s="26" t="s">
        <v>20</v>
      </c>
      <c r="H40" s="40" t="s">
        <v>29</v>
      </c>
      <c r="I40" s="44">
        <v>771</v>
      </c>
      <c r="J40" s="27" t="s">
        <v>30</v>
      </c>
      <c r="T40" s="8"/>
    </row>
    <row r="41" spans="1:20" ht="15.6" x14ac:dyDescent="0.3">
      <c r="A41" s="6"/>
      <c r="C41" s="25" t="s">
        <v>28</v>
      </c>
      <c r="D41" s="49">
        <v>55</v>
      </c>
      <c r="E41" s="26" t="s">
        <v>20</v>
      </c>
      <c r="H41" s="40" t="s">
        <v>32</v>
      </c>
      <c r="I41" s="44">
        <v>653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49">
        <v>0</v>
      </c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49">
        <v>50</v>
      </c>
      <c r="E43" s="26" t="s">
        <v>20</v>
      </c>
      <c r="H43" s="40" t="s">
        <v>37</v>
      </c>
      <c r="I43" s="44">
        <v>1424</v>
      </c>
      <c r="J43" s="27" t="s">
        <v>30</v>
      </c>
      <c r="T43" s="8"/>
    </row>
    <row r="44" spans="1:20" ht="15.6" x14ac:dyDescent="0.3">
      <c r="A44" s="6"/>
      <c r="C44" s="25" t="s">
        <v>41</v>
      </c>
      <c r="D44" s="49">
        <v>1.9</v>
      </c>
      <c r="E44" s="26" t="s">
        <v>20</v>
      </c>
      <c r="H44" s="40" t="s">
        <v>42</v>
      </c>
      <c r="I44" s="44">
        <v>13200</v>
      </c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50">
        <v>0</v>
      </c>
      <c r="E45" s="30" t="s">
        <v>20</v>
      </c>
      <c r="F45" s="32"/>
      <c r="G45" s="32"/>
      <c r="H45" s="40" t="s">
        <v>44</v>
      </c>
      <c r="I45" s="44">
        <v>3.5</v>
      </c>
      <c r="J45" s="27" t="s">
        <v>45</v>
      </c>
      <c r="K45" s="32"/>
      <c r="L45" s="42"/>
      <c r="M45" s="4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>
        <v>1.4</v>
      </c>
      <c r="J46" s="33" t="s">
        <v>45</v>
      </c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conditionalFormatting sqref="M11:M19">
    <cfRule type="cellIs" dxfId="10" priority="1" operator="greaterThan">
      <formula>2000</formula>
    </cfRule>
  </conditionalFormatting>
  <dataValidations count="9">
    <dataValidation type="list" allowBlank="1" showErrorMessage="1" errorTitle="Stage" error="Pick the stage from the list." sqref="A8 H8 O8" xr:uid="{3833AD58-59A2-4D3A-A06E-54B6ECC7FA4C}">
      <formula1>"I STAGE,II STAGE,III STAGE,IV STAGE"</formula1>
    </dataValidation>
    <dataValidation type="list" showErrorMessage="1" errorTitle="Zone" error="Pick a zone from the list." sqref="C5" xr:uid="{CA1BE3BB-142F-4C77-ADB2-9BB071543FD0}">
      <formula1>"Ahmedabad,Vadodara,Ankleshwar,Panoli,Jhagadia,Dahej,Vapi"</formula1>
    </dataValidation>
    <dataValidation type="list" allowBlank="1" sqref="R10:R32 D10:D32 K10:K32" xr:uid="{F1B43F36-6407-4198-BD04-84A0C00A8223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FB1B54DE-48D3-43F5-8CE6-C6F74020C3DD}">
      <formula1>1</formula1>
    </dataValidation>
    <dataValidation type="date" operator="greaterThan" allowBlank="1" showErrorMessage="1" errorTitle="Date" error="Enter a real date." sqref="B10:B32 I3 I10:I32 P10:P32" xr:uid="{526BD09F-C381-480D-9FA2-38928604C943}">
      <formula1>DATE(2000,1,1)</formula1>
    </dataValidation>
    <dataValidation type="decimal" operator="greaterThanOrEqual" allowBlank="1" showErrorMessage="1" errorTitle="Flow" error="Flow must be a number &gt;= 0." sqref="C10:C32 E10:E32 J10:J32 S10:S32 Q10:Q32 L10:L32" xr:uid="{23090481-4943-4DC9-B62B-01D9613BD911}">
      <formula1>0</formula1>
    </dataValidation>
    <dataValidation type="decimal" allowBlank="1" showErrorMessage="1" errorTitle="Conductivity" error="Conductivity must be 0..50000 us/cm." sqref="F10:F32 T10:T32 M10:M32" xr:uid="{7BC7D70F-E9E6-4715-B74B-A84B2EE31BD1}">
      <formula1>0</formula1>
      <formula2>50000</formula2>
    </dataValidation>
    <dataValidation type="decimal" operator="greaterThanOrEqual" allowBlank="1" showErrorMessage="1" errorTitle="Value" error="Value must be a number &gt;= 0." sqref="I36:I46 D37:D45" xr:uid="{F8DC1CD0-2016-461C-A3CB-EDCB6CC0CAC5}">
      <formula1>0</formula1>
    </dataValidation>
    <dataValidation type="whole" operator="greaterThanOrEqual" showErrorMessage="1" errorTitle="Plant SR No" error="Plant SR No must be a whole number &gt;= 1." sqref="C4" xr:uid="{2E3C0641-6603-480A-AD67-CB0B2E586EB5}">
      <formula1>1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89F7-5D17-4A80-A19B-C16C739180B1}">
  <dimension ref="A1:U47"/>
  <sheetViews>
    <sheetView topLeftCell="A5" workbookViewId="0">
      <selection activeCell="Q16" sqref="Q16"/>
    </sheetView>
  </sheetViews>
  <sheetFormatPr defaultColWidth="9.109375" defaultRowHeight="14.4" x14ac:dyDescent="0.3"/>
  <cols>
    <col min="1" max="1" width="8.6640625" style="7" customWidth="1"/>
    <col min="2" max="2" width="11.6640625" style="7" customWidth="1"/>
    <col min="3" max="3" width="13" style="38" customWidth="1"/>
    <col min="4" max="4" width="12.21875" style="7" customWidth="1"/>
    <col min="5" max="5" width="8.6640625" style="7" customWidth="1"/>
    <col min="6" max="6" width="10.6640625" style="38" customWidth="1"/>
    <col min="7" max="7" width="2" style="7" customWidth="1"/>
    <col min="8" max="8" width="14" style="38" customWidth="1"/>
    <col min="9" max="9" width="10.44140625" style="7" customWidth="1"/>
    <col min="10" max="10" width="13" style="38" customWidth="1"/>
    <col min="11" max="11" width="12.44140625" style="7" customWidth="1"/>
    <col min="12" max="12" width="8.6640625" style="7" customWidth="1"/>
    <col min="13" max="13" width="10.6640625" style="38" customWidth="1"/>
    <col min="14" max="14" width="2" style="7" customWidth="1"/>
    <col min="15" max="15" width="8.6640625" style="38" customWidth="1"/>
    <col min="16" max="16" width="10.109375" style="7" customWidth="1"/>
    <col min="17" max="17" width="13" style="38" customWidth="1"/>
    <col min="18" max="18" width="12" style="7" customWidth="1"/>
    <col min="19" max="19" width="8.6640625" style="7" customWidth="1"/>
    <col min="20" max="20" width="10.6640625" style="38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111"/>
      <c r="R1" s="3"/>
      <c r="S1" s="3"/>
      <c r="T1" s="112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64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65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113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63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55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221">
        <v>45976</v>
      </c>
      <c r="C10" s="44">
        <v>6.24</v>
      </c>
      <c r="D10" s="56" t="s">
        <v>49</v>
      </c>
      <c r="E10" s="14">
        <f>1800/C10</f>
        <v>288.46153846153845</v>
      </c>
      <c r="F10" s="47">
        <v>27</v>
      </c>
      <c r="H10" s="36">
        <v>24</v>
      </c>
      <c r="I10" s="221">
        <v>46052</v>
      </c>
      <c r="J10" s="44">
        <v>9.1199999999999992</v>
      </c>
      <c r="K10" s="56" t="s">
        <v>49</v>
      </c>
      <c r="L10" s="14">
        <f>900/J10</f>
        <v>98.684210526315795</v>
      </c>
      <c r="M10" s="47">
        <v>47</v>
      </c>
      <c r="O10" s="36">
        <v>47</v>
      </c>
      <c r="P10" s="221">
        <v>46012</v>
      </c>
      <c r="Q10" s="44">
        <v>21.84</v>
      </c>
      <c r="R10" s="56" t="s">
        <v>49</v>
      </c>
      <c r="S10" s="14">
        <f>900/Q10</f>
        <v>41.208791208791212</v>
      </c>
      <c r="T10" s="47">
        <v>305</v>
      </c>
    </row>
    <row r="11" spans="1:21" ht="18" customHeight="1" x14ac:dyDescent="0.3">
      <c r="A11" s="36">
        <v>2</v>
      </c>
      <c r="B11" s="221">
        <v>45976</v>
      </c>
      <c r="C11" s="44">
        <v>5.98</v>
      </c>
      <c r="D11" s="56" t="s">
        <v>49</v>
      </c>
      <c r="E11" s="14">
        <f t="shared" ref="E11:E18" si="0">1800/C11</f>
        <v>301.00334448160532</v>
      </c>
      <c r="F11" s="47">
        <v>20</v>
      </c>
      <c r="H11" s="36">
        <v>25</v>
      </c>
      <c r="I11" s="221">
        <v>46052</v>
      </c>
      <c r="J11" s="44">
        <v>8.32</v>
      </c>
      <c r="K11" s="56" t="s">
        <v>49</v>
      </c>
      <c r="L11" s="14">
        <f t="shared" ref="L11:L17" si="1">900/J11</f>
        <v>108.17307692307692</v>
      </c>
      <c r="M11" s="47">
        <v>46</v>
      </c>
      <c r="O11" s="36">
        <v>48</v>
      </c>
      <c r="P11" s="222">
        <v>44763</v>
      </c>
      <c r="Q11" s="44">
        <v>21.04</v>
      </c>
      <c r="R11" s="56" t="s">
        <v>49</v>
      </c>
      <c r="S11" s="14">
        <f t="shared" ref="S11:S17" si="2">900/Q11</f>
        <v>42.775665399239543</v>
      </c>
      <c r="T11" s="47">
        <v>300</v>
      </c>
    </row>
    <row r="12" spans="1:21" ht="18" customHeight="1" x14ac:dyDescent="0.3">
      <c r="A12" s="36">
        <v>3</v>
      </c>
      <c r="B12" s="221">
        <v>45976</v>
      </c>
      <c r="C12" s="44">
        <v>5.54</v>
      </c>
      <c r="D12" s="56" t="s">
        <v>49</v>
      </c>
      <c r="E12" s="14">
        <f t="shared" si="0"/>
        <v>324.90974729241879</v>
      </c>
      <c r="F12" s="47">
        <v>20</v>
      </c>
      <c r="H12" s="36">
        <v>26</v>
      </c>
      <c r="I12" s="221">
        <v>46052</v>
      </c>
      <c r="J12" s="44">
        <v>9.3800000000000008</v>
      </c>
      <c r="K12" s="56" t="s">
        <v>49</v>
      </c>
      <c r="L12" s="14">
        <f t="shared" si="1"/>
        <v>95.948827292110863</v>
      </c>
      <c r="M12" s="47">
        <v>44</v>
      </c>
      <c r="O12" s="36">
        <v>49</v>
      </c>
      <c r="P12" s="222">
        <v>44763</v>
      </c>
      <c r="Q12" s="44">
        <v>25.08</v>
      </c>
      <c r="R12" s="56" t="s">
        <v>49</v>
      </c>
      <c r="S12" s="14">
        <f t="shared" si="2"/>
        <v>35.885167464114836</v>
      </c>
      <c r="T12" s="47">
        <v>411</v>
      </c>
    </row>
    <row r="13" spans="1:21" ht="18" customHeight="1" x14ac:dyDescent="0.3">
      <c r="A13" s="36">
        <v>4</v>
      </c>
      <c r="B13" s="221">
        <v>45976</v>
      </c>
      <c r="C13" s="44">
        <v>6.57</v>
      </c>
      <c r="D13" s="56" t="s">
        <v>49</v>
      </c>
      <c r="E13" s="14">
        <f t="shared" si="0"/>
        <v>273.97260273972603</v>
      </c>
      <c r="F13" s="47">
        <v>45</v>
      </c>
      <c r="H13" s="36">
        <v>27</v>
      </c>
      <c r="I13" s="221">
        <v>46052</v>
      </c>
      <c r="J13" s="44">
        <v>9.24</v>
      </c>
      <c r="K13" s="56" t="s">
        <v>49</v>
      </c>
      <c r="L13" s="14">
        <f t="shared" si="1"/>
        <v>97.402597402597394</v>
      </c>
      <c r="M13" s="47">
        <v>47</v>
      </c>
      <c r="O13" s="36">
        <v>50</v>
      </c>
      <c r="P13" s="222">
        <v>46377</v>
      </c>
      <c r="Q13" s="44">
        <v>11.9</v>
      </c>
      <c r="R13" s="56" t="s">
        <v>49</v>
      </c>
      <c r="S13" s="14">
        <f t="shared" si="2"/>
        <v>75.630252100840337</v>
      </c>
      <c r="T13" s="47">
        <v>38</v>
      </c>
    </row>
    <row r="14" spans="1:21" ht="18" customHeight="1" x14ac:dyDescent="0.3">
      <c r="A14" s="36">
        <v>5</v>
      </c>
      <c r="B14" s="221">
        <v>45976</v>
      </c>
      <c r="C14" s="44">
        <v>5.58</v>
      </c>
      <c r="D14" s="56" t="s">
        <v>49</v>
      </c>
      <c r="E14" s="14">
        <f t="shared" si="0"/>
        <v>322.58064516129031</v>
      </c>
      <c r="F14" s="47">
        <v>20</v>
      </c>
      <c r="H14" s="36">
        <v>28</v>
      </c>
      <c r="I14" s="221">
        <v>46052</v>
      </c>
      <c r="J14" s="44">
        <v>8.9</v>
      </c>
      <c r="K14" s="56" t="s">
        <v>49</v>
      </c>
      <c r="L14" s="14">
        <f t="shared" si="1"/>
        <v>101.12359550561797</v>
      </c>
      <c r="M14" s="47">
        <v>45</v>
      </c>
      <c r="O14" s="36">
        <v>51</v>
      </c>
      <c r="P14" s="222">
        <v>46183</v>
      </c>
      <c r="Q14" s="44">
        <v>11.21</v>
      </c>
      <c r="R14" s="56" t="s">
        <v>49</v>
      </c>
      <c r="S14" s="14">
        <f t="shared" si="2"/>
        <v>80.285459411239955</v>
      </c>
      <c r="T14" s="53">
        <v>53</v>
      </c>
      <c r="U14" s="52"/>
    </row>
    <row r="15" spans="1:21" ht="18" customHeight="1" x14ac:dyDescent="0.3">
      <c r="A15" s="36">
        <v>6</v>
      </c>
      <c r="B15" s="221">
        <v>45976</v>
      </c>
      <c r="C15" s="44">
        <v>6.45</v>
      </c>
      <c r="D15" s="56" t="s">
        <v>49</v>
      </c>
      <c r="E15" s="14">
        <f t="shared" si="0"/>
        <v>279.06976744186045</v>
      </c>
      <c r="F15" s="47">
        <v>16</v>
      </c>
      <c r="H15" s="36">
        <v>29</v>
      </c>
      <c r="I15" s="221">
        <v>46052</v>
      </c>
      <c r="J15" s="44">
        <v>8.5500000000000007</v>
      </c>
      <c r="K15" s="56" t="s">
        <v>49</v>
      </c>
      <c r="L15" s="14">
        <f t="shared" si="1"/>
        <v>105.26315789473684</v>
      </c>
      <c r="M15" s="47">
        <v>384</v>
      </c>
      <c r="O15" s="36">
        <v>52</v>
      </c>
      <c r="P15" s="224">
        <v>46183</v>
      </c>
      <c r="Q15" s="44">
        <v>12.6</v>
      </c>
      <c r="R15" s="56" t="s">
        <v>49</v>
      </c>
      <c r="S15" s="14">
        <f t="shared" si="2"/>
        <v>71.428571428571431</v>
      </c>
      <c r="T15" s="47">
        <v>34</v>
      </c>
    </row>
    <row r="16" spans="1:21" ht="18" customHeight="1" x14ac:dyDescent="0.3">
      <c r="A16" s="36">
        <v>7</v>
      </c>
      <c r="B16" s="221">
        <v>45976</v>
      </c>
      <c r="C16" s="44">
        <v>7.2</v>
      </c>
      <c r="D16" s="56" t="s">
        <v>49</v>
      </c>
      <c r="E16" s="14">
        <f t="shared" si="0"/>
        <v>250</v>
      </c>
      <c r="F16" s="47">
        <v>18</v>
      </c>
      <c r="H16" s="36">
        <v>30</v>
      </c>
      <c r="I16" s="222">
        <v>44767</v>
      </c>
      <c r="J16" s="44">
        <v>9.1300000000000008</v>
      </c>
      <c r="K16" s="56" t="s">
        <v>49</v>
      </c>
      <c r="L16" s="14">
        <f t="shared" si="1"/>
        <v>98.576122672508205</v>
      </c>
      <c r="M16" s="47">
        <v>1685</v>
      </c>
      <c r="O16" s="36">
        <v>53</v>
      </c>
      <c r="P16" s="221">
        <v>46012</v>
      </c>
      <c r="Q16" s="44">
        <v>21.45</v>
      </c>
      <c r="R16" s="56" t="s">
        <v>49</v>
      </c>
      <c r="S16" s="14">
        <f t="shared" si="2"/>
        <v>41.95804195804196</v>
      </c>
      <c r="T16" s="47">
        <v>2741</v>
      </c>
    </row>
    <row r="17" spans="1:20" ht="18" customHeight="1" x14ac:dyDescent="0.3">
      <c r="A17" s="36">
        <v>8</v>
      </c>
      <c r="B17" s="221">
        <v>45976</v>
      </c>
      <c r="C17" s="44">
        <v>6.12</v>
      </c>
      <c r="D17" s="56" t="s">
        <v>49</v>
      </c>
      <c r="E17" s="14">
        <f t="shared" si="0"/>
        <v>294.11764705882354</v>
      </c>
      <c r="F17" s="47">
        <v>70</v>
      </c>
      <c r="H17" s="36">
        <v>31</v>
      </c>
      <c r="I17" s="223">
        <v>46052</v>
      </c>
      <c r="J17" s="44">
        <v>6.82</v>
      </c>
      <c r="K17" s="56" t="s">
        <v>49</v>
      </c>
      <c r="L17" s="14">
        <f t="shared" si="1"/>
        <v>131.96480938416423</v>
      </c>
      <c r="M17" s="47">
        <v>61</v>
      </c>
      <c r="O17" s="36">
        <v>54</v>
      </c>
      <c r="P17" s="221">
        <v>46183</v>
      </c>
      <c r="Q17" s="44">
        <v>11.67</v>
      </c>
      <c r="R17" s="56" t="s">
        <v>49</v>
      </c>
      <c r="S17" s="14">
        <f t="shared" si="2"/>
        <v>77.120822622107966</v>
      </c>
      <c r="T17" s="47">
        <v>49</v>
      </c>
    </row>
    <row r="18" spans="1:20" ht="18" customHeight="1" x14ac:dyDescent="0.3">
      <c r="A18" s="36">
        <v>9</v>
      </c>
      <c r="B18" s="221">
        <v>45976</v>
      </c>
      <c r="C18" s="44">
        <v>6.82</v>
      </c>
      <c r="D18" s="56" t="s">
        <v>49</v>
      </c>
      <c r="E18" s="14">
        <f t="shared" si="0"/>
        <v>263.92961876832845</v>
      </c>
      <c r="F18" s="47">
        <v>150</v>
      </c>
      <c r="H18" s="36">
        <v>32</v>
      </c>
      <c r="I18" s="13"/>
      <c r="J18" s="44"/>
      <c r="K18" s="14"/>
      <c r="L18" s="14"/>
      <c r="M18" s="47"/>
      <c r="O18" s="36">
        <v>55</v>
      </c>
      <c r="P18" s="43"/>
      <c r="Q18" s="44"/>
      <c r="R18" s="44"/>
      <c r="S18" s="14"/>
      <c r="T18" s="47"/>
    </row>
    <row r="19" spans="1:20" ht="18" customHeight="1" x14ac:dyDescent="0.3">
      <c r="A19" s="36">
        <v>10</v>
      </c>
      <c r="B19" s="13"/>
      <c r="C19" s="44"/>
      <c r="D19" s="14"/>
      <c r="E19" s="14"/>
      <c r="F19" s="47"/>
      <c r="H19" s="36">
        <v>33</v>
      </c>
      <c r="I19" s="13"/>
      <c r="J19" s="44"/>
      <c r="K19" s="14"/>
      <c r="L19" s="14"/>
      <c r="M19" s="47"/>
      <c r="O19" s="36">
        <v>56</v>
      </c>
      <c r="P19" s="43"/>
      <c r="Q19" s="44"/>
      <c r="R19" s="44"/>
      <c r="S19" s="14"/>
      <c r="T19" s="47"/>
    </row>
    <row r="20" spans="1:20" ht="18" customHeight="1" x14ac:dyDescent="0.3">
      <c r="A20" s="36">
        <v>11</v>
      </c>
      <c r="B20" s="13"/>
      <c r="C20" s="44"/>
      <c r="D20" s="14"/>
      <c r="E20" s="14"/>
      <c r="F20" s="47"/>
      <c r="H20" s="36">
        <v>34</v>
      </c>
      <c r="I20" s="13"/>
      <c r="J20" s="44"/>
      <c r="K20" s="14"/>
      <c r="L20" s="14"/>
      <c r="M20" s="47"/>
      <c r="O20" s="36">
        <v>57</v>
      </c>
      <c r="P20" s="43"/>
      <c r="Q20" s="44"/>
      <c r="R20" s="44"/>
      <c r="S20" s="14"/>
      <c r="T20" s="47"/>
    </row>
    <row r="21" spans="1:20" ht="18" customHeight="1" x14ac:dyDescent="0.3">
      <c r="A21" s="36">
        <v>12</v>
      </c>
      <c r="B21" s="13"/>
      <c r="C21" s="44"/>
      <c r="D21" s="14"/>
      <c r="E21" s="14"/>
      <c r="F21" s="47"/>
      <c r="H21" s="36">
        <v>35</v>
      </c>
      <c r="I21" s="13"/>
      <c r="J21" s="44"/>
      <c r="K21" s="14"/>
      <c r="L21" s="14"/>
      <c r="M21" s="47"/>
      <c r="O21" s="36">
        <v>58</v>
      </c>
      <c r="P21" s="43"/>
      <c r="Q21" s="44"/>
      <c r="R21" s="44"/>
      <c r="S21" s="14"/>
      <c r="T21" s="47"/>
    </row>
    <row r="22" spans="1:20" ht="18" customHeight="1" x14ac:dyDescent="0.3">
      <c r="A22" s="36">
        <v>13</v>
      </c>
      <c r="B22" s="13"/>
      <c r="C22" s="44"/>
      <c r="D22" s="14"/>
      <c r="E22" s="14"/>
      <c r="F22" s="47"/>
      <c r="H22" s="36">
        <v>36</v>
      </c>
      <c r="I22" s="13"/>
      <c r="J22" s="44"/>
      <c r="K22" s="14"/>
      <c r="L22" s="14"/>
      <c r="M22" s="47"/>
      <c r="O22" s="36">
        <v>59</v>
      </c>
      <c r="P22" s="43"/>
      <c r="Q22" s="44"/>
      <c r="R22" s="44"/>
      <c r="S22" s="14"/>
      <c r="T22" s="47"/>
    </row>
    <row r="23" spans="1:20" ht="18" customHeight="1" x14ac:dyDescent="0.3">
      <c r="A23" s="36">
        <v>14</v>
      </c>
      <c r="B23" s="13"/>
      <c r="C23" s="44"/>
      <c r="D23" s="14"/>
      <c r="E23" s="14"/>
      <c r="F23" s="47"/>
      <c r="H23" s="36">
        <v>37</v>
      </c>
      <c r="I23" s="13"/>
      <c r="J23" s="44"/>
      <c r="K23" s="14"/>
      <c r="L23" s="14"/>
      <c r="M23" s="47"/>
      <c r="O23" s="36">
        <v>60</v>
      </c>
      <c r="P23" s="43"/>
      <c r="Q23" s="44"/>
      <c r="R23" s="44"/>
      <c r="S23" s="14"/>
      <c r="T23" s="47"/>
    </row>
    <row r="24" spans="1:20" ht="18" customHeight="1" x14ac:dyDescent="0.3">
      <c r="A24" s="36">
        <v>15</v>
      </c>
      <c r="B24" s="13"/>
      <c r="C24" s="44"/>
      <c r="D24" s="14"/>
      <c r="E24" s="14"/>
      <c r="F24" s="47"/>
      <c r="H24" s="36">
        <v>38</v>
      </c>
      <c r="I24" s="13"/>
      <c r="J24" s="44"/>
      <c r="K24" s="14"/>
      <c r="L24" s="14"/>
      <c r="M24" s="47"/>
      <c r="O24" s="36">
        <v>61</v>
      </c>
      <c r="P24" s="43"/>
      <c r="Q24" s="44"/>
      <c r="R24" s="44"/>
      <c r="S24" s="14"/>
      <c r="T24" s="47"/>
    </row>
    <row r="25" spans="1:20" ht="18" customHeight="1" x14ac:dyDescent="0.3">
      <c r="A25" s="36">
        <v>16</v>
      </c>
      <c r="B25" s="13"/>
      <c r="C25" s="44"/>
      <c r="D25" s="14"/>
      <c r="E25" s="14"/>
      <c r="F25" s="47"/>
      <c r="H25" s="36">
        <v>39</v>
      </c>
      <c r="I25" s="13"/>
      <c r="J25" s="44"/>
      <c r="K25" s="14"/>
      <c r="L25" s="14"/>
      <c r="M25" s="47"/>
      <c r="O25" s="36">
        <v>62</v>
      </c>
      <c r="P25" s="43"/>
      <c r="Q25" s="44"/>
      <c r="R25" s="44"/>
      <c r="S25" s="14"/>
      <c r="T25" s="47"/>
    </row>
    <row r="26" spans="1:20" ht="18" customHeight="1" x14ac:dyDescent="0.3">
      <c r="A26" s="36">
        <v>17</v>
      </c>
      <c r="B26" s="13"/>
      <c r="C26" s="44"/>
      <c r="D26" s="14"/>
      <c r="E26" s="14"/>
      <c r="F26" s="47"/>
      <c r="H26" s="36">
        <v>40</v>
      </c>
      <c r="I26" s="13"/>
      <c r="J26" s="44"/>
      <c r="K26" s="14"/>
      <c r="L26" s="14"/>
      <c r="M26" s="47"/>
      <c r="O26" s="36">
        <v>63</v>
      </c>
      <c r="P26" s="43"/>
      <c r="Q26" s="44"/>
      <c r="R26" s="44"/>
      <c r="S26" s="14"/>
      <c r="T26" s="47"/>
    </row>
    <row r="27" spans="1:20" ht="18" customHeight="1" x14ac:dyDescent="0.3">
      <c r="A27" s="36">
        <v>18</v>
      </c>
      <c r="B27" s="13"/>
      <c r="C27" s="44"/>
      <c r="D27" s="14"/>
      <c r="E27" s="14"/>
      <c r="F27" s="47"/>
      <c r="H27" s="36">
        <v>41</v>
      </c>
      <c r="I27" s="13"/>
      <c r="J27" s="44"/>
      <c r="K27" s="14"/>
      <c r="L27" s="14"/>
      <c r="M27" s="47"/>
      <c r="O27" s="36">
        <v>64</v>
      </c>
      <c r="P27" s="43"/>
      <c r="Q27" s="44"/>
      <c r="R27" s="44"/>
      <c r="S27" s="14"/>
      <c r="T27" s="47"/>
    </row>
    <row r="28" spans="1:20" ht="18" customHeight="1" x14ac:dyDescent="0.3">
      <c r="A28" s="36">
        <v>19</v>
      </c>
      <c r="B28" s="13"/>
      <c r="C28" s="44"/>
      <c r="D28" s="14"/>
      <c r="E28" s="14"/>
      <c r="F28" s="47"/>
      <c r="H28" s="36">
        <v>42</v>
      </c>
      <c r="I28" s="13"/>
      <c r="J28" s="44"/>
      <c r="K28" s="14"/>
      <c r="L28" s="14"/>
      <c r="M28" s="47"/>
      <c r="O28" s="36">
        <v>65</v>
      </c>
      <c r="P28" s="43"/>
      <c r="Q28" s="44"/>
      <c r="R28" s="44"/>
      <c r="S28" s="14"/>
      <c r="T28" s="47"/>
    </row>
    <row r="29" spans="1:20" ht="18" customHeight="1" x14ac:dyDescent="0.3">
      <c r="A29" s="36">
        <v>20</v>
      </c>
      <c r="B29" s="13"/>
      <c r="C29" s="44"/>
      <c r="D29" s="14"/>
      <c r="E29" s="14"/>
      <c r="F29" s="47"/>
      <c r="H29" s="36">
        <v>43</v>
      </c>
      <c r="I29" s="13"/>
      <c r="J29" s="44"/>
      <c r="K29" s="14"/>
      <c r="L29" s="14"/>
      <c r="M29" s="47"/>
      <c r="O29" s="36">
        <v>66</v>
      </c>
      <c r="P29" s="43"/>
      <c r="Q29" s="44"/>
      <c r="R29" s="44"/>
      <c r="S29" s="14"/>
      <c r="T29" s="47"/>
    </row>
    <row r="30" spans="1:20" ht="18" customHeight="1" x14ac:dyDescent="0.3">
      <c r="A30" s="36">
        <v>21</v>
      </c>
      <c r="B30" s="13"/>
      <c r="C30" s="44"/>
      <c r="D30" s="14"/>
      <c r="E30" s="14"/>
      <c r="F30" s="47"/>
      <c r="H30" s="36">
        <v>44</v>
      </c>
      <c r="I30" s="13"/>
      <c r="J30" s="44"/>
      <c r="K30" s="14"/>
      <c r="L30" s="14"/>
      <c r="M30" s="47"/>
      <c r="O30" s="36">
        <v>67</v>
      </c>
      <c r="P30" s="43"/>
      <c r="Q30" s="44"/>
      <c r="R30" s="44"/>
      <c r="S30" s="14"/>
      <c r="T30" s="47"/>
    </row>
    <row r="31" spans="1:20" ht="18" customHeight="1" x14ac:dyDescent="0.3">
      <c r="A31" s="36">
        <v>22</v>
      </c>
      <c r="B31" s="13"/>
      <c r="C31" s="44"/>
      <c r="D31" s="14"/>
      <c r="E31" s="14"/>
      <c r="F31" s="47"/>
      <c r="H31" s="36">
        <v>45</v>
      </c>
      <c r="I31" s="13"/>
      <c r="J31" s="44"/>
      <c r="K31" s="14"/>
      <c r="L31" s="14"/>
      <c r="M31" s="47"/>
      <c r="O31" s="36">
        <v>68</v>
      </c>
      <c r="P31" s="43"/>
      <c r="Q31" s="44"/>
      <c r="R31" s="44"/>
      <c r="S31" s="14"/>
      <c r="T31" s="47"/>
    </row>
    <row r="32" spans="1:20" ht="18" customHeight="1" thickBot="1" x14ac:dyDescent="0.35">
      <c r="A32" s="37">
        <v>23</v>
      </c>
      <c r="B32" s="16"/>
      <c r="C32" s="101"/>
      <c r="D32" s="17"/>
      <c r="E32" s="14"/>
      <c r="F32" s="48"/>
      <c r="H32" s="36">
        <v>46</v>
      </c>
      <c r="I32" s="16"/>
      <c r="J32" s="46"/>
      <c r="K32" s="19"/>
      <c r="L32" s="14"/>
      <c r="M32" s="48"/>
      <c r="O32" s="36">
        <v>69</v>
      </c>
      <c r="P32" s="45"/>
      <c r="Q32" s="46"/>
      <c r="R32" s="46"/>
      <c r="S32" s="14"/>
      <c r="T32" s="48"/>
    </row>
    <row r="33" spans="1:20" x14ac:dyDescent="0.3">
      <c r="A33" s="6"/>
      <c r="C33" s="139" t="s">
        <v>14</v>
      </c>
      <c r="D33" s="140"/>
      <c r="E33" s="9">
        <f>SUM(E10:E18)</f>
        <v>2598.0449114055914</v>
      </c>
      <c r="J33" s="139" t="s">
        <v>14</v>
      </c>
      <c r="K33" s="140"/>
      <c r="L33" s="9">
        <f>SUM(L10:L17)</f>
        <v>837.13639760112824</v>
      </c>
      <c r="Q33" s="139" t="s">
        <v>14</v>
      </c>
      <c r="R33" s="140"/>
      <c r="S33" s="9">
        <f>SUM(S10:S17)</f>
        <v>466.29277159294725</v>
      </c>
      <c r="T33" s="113"/>
    </row>
    <row r="34" spans="1:20" ht="15" thickBot="1" x14ac:dyDescent="0.35">
      <c r="A34" s="6"/>
      <c r="C34" s="143" t="s">
        <v>15</v>
      </c>
      <c r="D34" s="144"/>
      <c r="E34" s="20">
        <f>IFERROR(ROUND(AVERAGE(E10:E32),0),"")</f>
        <v>289</v>
      </c>
      <c r="J34" s="143" t="s">
        <v>15</v>
      </c>
      <c r="K34" s="144"/>
      <c r="L34" s="20">
        <f>IFERROR(ROUND(AVERAGE(L10:L32),0),"")</f>
        <v>105</v>
      </c>
      <c r="Q34" s="143" t="s">
        <v>15</v>
      </c>
      <c r="R34" s="144"/>
      <c r="S34" s="20">
        <f>IFERROR(ROUND(AVERAGE(S10:S32),0),"")</f>
        <v>58</v>
      </c>
      <c r="T34" s="113"/>
    </row>
    <row r="35" spans="1:20" ht="9.75" customHeight="1" thickBot="1" x14ac:dyDescent="0.35">
      <c r="A35" s="6"/>
      <c r="T35" s="113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>
        <v>1582</v>
      </c>
      <c r="J36" s="22" t="s">
        <v>18</v>
      </c>
      <c r="L36" s="23"/>
      <c r="T36" s="113"/>
    </row>
    <row r="37" spans="1:20" ht="15.6" x14ac:dyDescent="0.3">
      <c r="A37" s="24"/>
      <c r="C37" s="102" t="s">
        <v>19</v>
      </c>
      <c r="D37" s="49">
        <v>0.7</v>
      </c>
      <c r="E37" s="26" t="s">
        <v>20</v>
      </c>
      <c r="H37" s="40" t="s">
        <v>21</v>
      </c>
      <c r="I37" s="44">
        <v>170</v>
      </c>
      <c r="J37" s="27" t="s">
        <v>18</v>
      </c>
      <c r="L37" s="28"/>
      <c r="T37" s="113"/>
    </row>
    <row r="38" spans="1:20" ht="15.6" x14ac:dyDescent="0.3">
      <c r="A38" s="6"/>
      <c r="C38" s="102" t="s">
        <v>19</v>
      </c>
      <c r="D38" s="49">
        <v>3.5</v>
      </c>
      <c r="E38" s="26" t="s">
        <v>20</v>
      </c>
      <c r="H38" s="40" t="s">
        <v>23</v>
      </c>
      <c r="I38" s="44">
        <v>6.4</v>
      </c>
      <c r="J38" s="27" t="s">
        <v>24</v>
      </c>
      <c r="T38" s="113"/>
    </row>
    <row r="39" spans="1:20" ht="15" customHeight="1" x14ac:dyDescent="0.3">
      <c r="A39" s="6"/>
      <c r="C39" s="102" t="s">
        <v>22</v>
      </c>
      <c r="D39" s="49">
        <v>3.6</v>
      </c>
      <c r="E39" s="26" t="s">
        <v>20</v>
      </c>
      <c r="H39" s="40" t="s">
        <v>26</v>
      </c>
      <c r="I39" s="44">
        <v>33.01</v>
      </c>
      <c r="J39" s="27" t="s">
        <v>27</v>
      </c>
      <c r="T39" s="113"/>
    </row>
    <row r="40" spans="1:20" ht="15.6" x14ac:dyDescent="0.3">
      <c r="A40" s="6"/>
      <c r="C40" s="102" t="s">
        <v>25</v>
      </c>
      <c r="D40" s="49">
        <v>5</v>
      </c>
      <c r="E40" s="26" t="s">
        <v>20</v>
      </c>
      <c r="H40" s="40" t="s">
        <v>29</v>
      </c>
      <c r="I40" s="44">
        <v>2598</v>
      </c>
      <c r="J40" s="27" t="s">
        <v>30</v>
      </c>
      <c r="T40" s="113"/>
    </row>
    <row r="41" spans="1:20" ht="15.6" x14ac:dyDescent="0.3">
      <c r="A41" s="6"/>
      <c r="C41" s="102" t="s">
        <v>28</v>
      </c>
      <c r="D41" s="49">
        <v>0</v>
      </c>
      <c r="E41" s="26" t="s">
        <v>20</v>
      </c>
      <c r="H41" s="40" t="s">
        <v>32</v>
      </c>
      <c r="I41" s="44">
        <v>837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102" t="s">
        <v>31</v>
      </c>
      <c r="D42" s="49">
        <v>52</v>
      </c>
      <c r="E42" s="26" t="s">
        <v>20</v>
      </c>
      <c r="H42" s="40" t="s">
        <v>48</v>
      </c>
      <c r="I42" s="44">
        <v>466</v>
      </c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102" t="s">
        <v>58</v>
      </c>
      <c r="D43" s="49">
        <v>51</v>
      </c>
      <c r="E43" s="26"/>
      <c r="H43" s="40"/>
      <c r="I43" s="44"/>
      <c r="J43" s="27"/>
      <c r="L43" s="78"/>
      <c r="M43" s="78"/>
      <c r="P43" s="78"/>
      <c r="Q43" s="78"/>
      <c r="R43" s="78"/>
      <c r="S43" s="78"/>
      <c r="T43" s="79"/>
    </row>
    <row r="44" spans="1:20" ht="15.6" x14ac:dyDescent="0.3">
      <c r="A44" s="6"/>
      <c r="C44" s="102" t="s">
        <v>36</v>
      </c>
      <c r="D44" s="49">
        <v>48</v>
      </c>
      <c r="E44" s="26" t="s">
        <v>20</v>
      </c>
      <c r="H44" s="40" t="s">
        <v>37</v>
      </c>
      <c r="I44" s="44">
        <v>3901</v>
      </c>
      <c r="J44" s="27" t="s">
        <v>30</v>
      </c>
      <c r="T44" s="113"/>
    </row>
    <row r="45" spans="1:20" ht="15.6" x14ac:dyDescent="0.3">
      <c r="A45" s="6"/>
      <c r="C45" s="102" t="s">
        <v>41</v>
      </c>
      <c r="D45" s="49">
        <v>0.1</v>
      </c>
      <c r="E45" s="26" t="s">
        <v>20</v>
      </c>
      <c r="H45" s="40" t="s">
        <v>42</v>
      </c>
      <c r="I45" s="44">
        <v>4940</v>
      </c>
      <c r="J45" s="27" t="s">
        <v>18</v>
      </c>
      <c r="T45" s="113"/>
    </row>
    <row r="46" spans="1:20" ht="16.2" thickBot="1" x14ac:dyDescent="0.35">
      <c r="A46" s="31"/>
      <c r="B46" s="32"/>
      <c r="C46" s="110" t="s">
        <v>43</v>
      </c>
      <c r="D46" s="50"/>
      <c r="E46" s="30" t="s">
        <v>20</v>
      </c>
      <c r="F46" s="42"/>
      <c r="G46" s="32"/>
      <c r="H46" s="40" t="s">
        <v>44</v>
      </c>
      <c r="I46" s="44">
        <v>6.9</v>
      </c>
      <c r="J46" s="27" t="s">
        <v>45</v>
      </c>
      <c r="K46" s="32"/>
      <c r="L46" s="32"/>
      <c r="M46" s="42"/>
      <c r="N46" s="32"/>
      <c r="O46" s="42"/>
      <c r="P46" s="32"/>
      <c r="Q46" s="42"/>
      <c r="R46" s="32"/>
      <c r="S46" s="32"/>
      <c r="T46" s="114"/>
    </row>
    <row r="47" spans="1:20" ht="15" thickBot="1" x14ac:dyDescent="0.35">
      <c r="C47" s="42"/>
      <c r="D47" s="32"/>
      <c r="E47" s="32"/>
      <c r="H47" s="41" t="s">
        <v>46</v>
      </c>
      <c r="I47" s="46">
        <v>3.9</v>
      </c>
      <c r="J47" s="33" t="s">
        <v>45</v>
      </c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dataValidations count="9">
    <dataValidation type="list" allowBlank="1" showErrorMessage="1" errorTitle="Stage" error="Pick the stage from the list." sqref="A8 H8 O8" xr:uid="{B0D15CAD-33C6-4F84-B60F-CB050BFAC3DD}">
      <formula1>"I STAGE,II STAGE,III STAGE,IV STAGE"</formula1>
    </dataValidation>
    <dataValidation type="list" showErrorMessage="1" errorTitle="Zone" error="Pick a zone from the list." sqref="C5" xr:uid="{AD07AA97-F8B7-4825-86B9-5607B96C653E}">
      <formula1>"Ahmedabad,Vadodara,Ankleshwar,Panoli,Jhagadia,Dahej,Vapi"</formula1>
    </dataValidation>
    <dataValidation type="list" allowBlank="1" sqref="K10:K32 R10:R32 D10:D32" xr:uid="{92729272-2F1D-4E36-8ED7-13762D4E9B7C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D9CAC839-C2BC-4B25-806F-B9FA15536440}">
      <formula1>1</formula1>
    </dataValidation>
    <dataValidation type="date" operator="greaterThan" allowBlank="1" showErrorMessage="1" errorTitle="Date" error="Enter a real date." sqref="B10:B32 I3 I10:I32 P10:P32" xr:uid="{31C1FEBB-2376-4A2F-BC9A-EE388D2B3353}">
      <formula1>DATE(2000,1,1)</formula1>
    </dataValidation>
    <dataValidation type="decimal" operator="greaterThanOrEqual" allowBlank="1" showErrorMessage="1" errorTitle="Flow" error="Flow must be a number &gt;= 0." sqref="C10:C32 E10:E32 J10:J32 L10:L32 Q10:Q32 S10:S32" xr:uid="{4480CDB6-1543-416C-BE25-A07FDF7CAB0B}">
      <formula1>0</formula1>
    </dataValidation>
    <dataValidation type="decimal" allowBlank="1" showErrorMessage="1" errorTitle="Conductivity" error="Conductivity must be 0..50000 us/cm." sqref="F10:F32 M10:M32 T10:T32" xr:uid="{7DFEA6A8-90F7-449D-A12E-5BD7C89DFD03}">
      <formula1>0</formula1>
      <formula2>50000</formula2>
    </dataValidation>
    <dataValidation type="decimal" operator="greaterThanOrEqual" allowBlank="1" showErrorMessage="1" errorTitle="Value" error="Value must be a number &gt;= 0." sqref="I36:I47 D37:D46" xr:uid="{E33EA7F9-7B79-441C-8287-4F1668B2E377}">
      <formula1>0</formula1>
    </dataValidation>
    <dataValidation type="whole" operator="greaterThanOrEqual" showErrorMessage="1" errorTitle="Plant SR No" error="Plant SR No must be a whole number &gt;= 1." sqref="C4" xr:uid="{934A44C6-EC4F-45C6-8917-B124E2C0EA24}">
      <formula1>1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4572-43CA-4947-A7ED-A7C0A129F7BD}">
  <dimension ref="A1:U47"/>
  <sheetViews>
    <sheetView workbookViewId="0">
      <selection activeCell="K17" sqref="K17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38" customWidth="1"/>
    <col min="4" max="4" width="10.109375" style="7" bestFit="1" customWidth="1"/>
    <col min="5" max="5" width="8.6640625" style="7" customWidth="1"/>
    <col min="6" max="6" width="10.6640625" style="38" customWidth="1"/>
    <col min="7" max="7" width="2" style="7" customWidth="1"/>
    <col min="8" max="8" width="14" style="38" customWidth="1"/>
    <col min="9" max="9" width="9.6640625" style="7" customWidth="1"/>
    <col min="10" max="10" width="13" style="38" customWidth="1"/>
    <col min="11" max="11" width="10.109375" style="7" bestFit="1" customWidth="1"/>
    <col min="12" max="12" width="8.6640625" style="7" customWidth="1"/>
    <col min="13" max="13" width="10.6640625" style="38" customWidth="1"/>
    <col min="14" max="14" width="2" style="7" customWidth="1"/>
    <col min="15" max="15" width="8.6640625" style="38" customWidth="1"/>
    <col min="16" max="16" width="12.109375" style="7" customWidth="1"/>
    <col min="17" max="17" width="13" style="38" customWidth="1"/>
    <col min="18" max="18" width="12" style="7" customWidth="1"/>
    <col min="19" max="19" width="8.6640625" style="7" customWidth="1"/>
    <col min="20" max="20" width="10.6640625" style="38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111"/>
      <c r="R1" s="3"/>
      <c r="S1" s="3"/>
      <c r="T1" s="112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67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66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113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69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225" t="s">
        <v>86</v>
      </c>
      <c r="C10" s="44">
        <v>15.31</v>
      </c>
      <c r="D10" s="14" t="s">
        <v>78</v>
      </c>
      <c r="E10" s="14">
        <f>1800/C10</f>
        <v>117.57021554539516</v>
      </c>
      <c r="F10" s="47">
        <v>880</v>
      </c>
      <c r="H10" s="36">
        <v>24</v>
      </c>
      <c r="I10" s="226">
        <v>45352</v>
      </c>
      <c r="J10" s="44"/>
      <c r="K10" s="14" t="s">
        <v>78</v>
      </c>
      <c r="L10" s="14" t="e">
        <f>3600/J10</f>
        <v>#DIV/0!</v>
      </c>
      <c r="M10" s="47"/>
      <c r="O10" s="36">
        <v>47</v>
      </c>
      <c r="P10" s="227"/>
      <c r="Q10" s="44">
        <v>18.07</v>
      </c>
      <c r="R10" s="44" t="s">
        <v>78</v>
      </c>
      <c r="S10" s="14">
        <f>900/Q10</f>
        <v>49.806308799114554</v>
      </c>
      <c r="T10" s="47">
        <v>1410</v>
      </c>
    </row>
    <row r="11" spans="1:21" ht="18" customHeight="1" x14ac:dyDescent="0.3">
      <c r="A11" s="36">
        <v>2</v>
      </c>
      <c r="B11" s="225" t="s">
        <v>86</v>
      </c>
      <c r="C11" s="44">
        <v>14.3</v>
      </c>
      <c r="D11" s="14" t="s">
        <v>78</v>
      </c>
      <c r="E11" s="14">
        <f t="shared" ref="E11:E12" si="0">1800/C11</f>
        <v>125.87412587412587</v>
      </c>
      <c r="F11" s="47">
        <v>950</v>
      </c>
      <c r="H11" s="36">
        <v>25</v>
      </c>
      <c r="I11" s="226">
        <v>45352</v>
      </c>
      <c r="J11" s="44"/>
      <c r="K11" s="14" t="s">
        <v>78</v>
      </c>
      <c r="L11" s="14" t="e">
        <f t="shared" ref="L11:L32" si="1">3600/J11</f>
        <v>#DIV/0!</v>
      </c>
      <c r="M11" s="47"/>
      <c r="O11" s="36">
        <v>48</v>
      </c>
      <c r="P11" s="227"/>
      <c r="Q11" s="44">
        <v>18.059999999999999</v>
      </c>
      <c r="R11" s="44" t="s">
        <v>78</v>
      </c>
      <c r="S11" s="14">
        <f t="shared" ref="S11:S14" si="2">900/Q11</f>
        <v>49.833887043189371</v>
      </c>
      <c r="T11" s="47">
        <v>1280</v>
      </c>
    </row>
    <row r="12" spans="1:21" ht="18" customHeight="1" x14ac:dyDescent="0.3">
      <c r="A12" s="36">
        <v>3</v>
      </c>
      <c r="B12" s="225" t="s">
        <v>86</v>
      </c>
      <c r="C12" s="44">
        <v>12.8</v>
      </c>
      <c r="D12" s="14" t="s">
        <v>78</v>
      </c>
      <c r="E12" s="14">
        <f t="shared" si="0"/>
        <v>140.625</v>
      </c>
      <c r="F12" s="47">
        <v>850</v>
      </c>
      <c r="H12" s="36">
        <v>26</v>
      </c>
      <c r="I12" s="226">
        <v>45352</v>
      </c>
      <c r="J12" s="44"/>
      <c r="K12" s="14" t="s">
        <v>78</v>
      </c>
      <c r="L12" s="14" t="e">
        <f t="shared" si="1"/>
        <v>#DIV/0!</v>
      </c>
      <c r="M12" s="47"/>
      <c r="O12" s="36">
        <v>49</v>
      </c>
      <c r="P12" s="227"/>
      <c r="Q12" s="44">
        <v>18.13</v>
      </c>
      <c r="R12" s="44" t="s">
        <v>78</v>
      </c>
      <c r="S12" s="14">
        <f t="shared" si="2"/>
        <v>49.64147821290679</v>
      </c>
      <c r="T12" s="47">
        <v>1413</v>
      </c>
    </row>
    <row r="13" spans="1:21" ht="18" customHeight="1" x14ac:dyDescent="0.3">
      <c r="A13" s="36">
        <v>4</v>
      </c>
      <c r="B13" s="13"/>
      <c r="C13" s="44"/>
      <c r="D13" s="14"/>
      <c r="E13" s="14"/>
      <c r="F13" s="47"/>
      <c r="H13" s="36">
        <v>27</v>
      </c>
      <c r="I13" s="226"/>
      <c r="J13" s="44"/>
      <c r="K13" s="14" t="s">
        <v>78</v>
      </c>
      <c r="L13" s="14" t="e">
        <f t="shared" si="1"/>
        <v>#DIV/0!</v>
      </c>
      <c r="M13" s="47"/>
      <c r="O13" s="36">
        <v>50</v>
      </c>
      <c r="P13" s="227">
        <v>45355</v>
      </c>
      <c r="Q13" s="44">
        <v>79.319999999999993</v>
      </c>
      <c r="R13" s="44" t="s">
        <v>56</v>
      </c>
      <c r="S13" s="14">
        <f t="shared" si="2"/>
        <v>11.346444780635402</v>
      </c>
      <c r="T13" s="47">
        <v>3610</v>
      </c>
    </row>
    <row r="14" spans="1:21" ht="18" customHeight="1" x14ac:dyDescent="0.3">
      <c r="A14" s="36">
        <v>5</v>
      </c>
      <c r="B14" s="13"/>
      <c r="C14" s="44"/>
      <c r="D14" s="14"/>
      <c r="E14" s="14"/>
      <c r="F14" s="47"/>
      <c r="H14" s="36">
        <v>28</v>
      </c>
      <c r="I14" s="226"/>
      <c r="J14" s="44"/>
      <c r="K14" s="14" t="s">
        <v>78</v>
      </c>
      <c r="L14" s="14" t="e">
        <f t="shared" si="1"/>
        <v>#DIV/0!</v>
      </c>
      <c r="M14" s="47"/>
      <c r="O14" s="36">
        <v>51</v>
      </c>
      <c r="P14" s="227">
        <v>45356</v>
      </c>
      <c r="Q14" s="44">
        <v>17.43</v>
      </c>
      <c r="R14" s="44" t="s">
        <v>78</v>
      </c>
      <c r="S14" s="14">
        <f t="shared" si="2"/>
        <v>51.635111876075733</v>
      </c>
      <c r="T14" s="53">
        <v>1370</v>
      </c>
      <c r="U14" s="52"/>
    </row>
    <row r="15" spans="1:21" ht="18" customHeight="1" x14ac:dyDescent="0.3">
      <c r="A15" s="36">
        <v>6</v>
      </c>
      <c r="B15" s="13"/>
      <c r="C15" s="44"/>
      <c r="D15" s="14"/>
      <c r="E15" s="14"/>
      <c r="F15" s="47"/>
      <c r="H15" s="36">
        <v>29</v>
      </c>
      <c r="I15" s="13"/>
      <c r="J15" s="44"/>
      <c r="K15" s="14"/>
      <c r="L15" s="14" t="e">
        <f t="shared" si="1"/>
        <v>#DIV/0!</v>
      </c>
      <c r="M15" s="47"/>
      <c r="O15" s="36">
        <v>52</v>
      </c>
      <c r="P15" s="43"/>
      <c r="Q15" s="44"/>
      <c r="R15" s="44"/>
      <c r="S15" s="14"/>
      <c r="T15" s="47"/>
    </row>
    <row r="16" spans="1:21" ht="18" customHeight="1" x14ac:dyDescent="0.3">
      <c r="A16" s="36">
        <v>7</v>
      </c>
      <c r="B16" s="13"/>
      <c r="C16" s="44"/>
      <c r="D16" s="14"/>
      <c r="E16" s="14"/>
      <c r="F16" s="47"/>
      <c r="H16" s="36">
        <v>30</v>
      </c>
      <c r="I16" s="13"/>
      <c r="J16" s="44"/>
      <c r="K16" s="14"/>
      <c r="L16" s="14" t="e">
        <f t="shared" si="1"/>
        <v>#DIV/0!</v>
      </c>
      <c r="M16" s="47"/>
      <c r="O16" s="36">
        <v>53</v>
      </c>
      <c r="P16" s="43"/>
      <c r="Q16" s="44"/>
      <c r="R16" s="44"/>
      <c r="S16" s="14"/>
      <c r="T16" s="47"/>
    </row>
    <row r="17" spans="1:20" ht="18" customHeight="1" x14ac:dyDescent="0.3">
      <c r="A17" s="36">
        <v>8</v>
      </c>
      <c r="B17" s="13"/>
      <c r="C17" s="44"/>
      <c r="D17" s="14"/>
      <c r="E17" s="14"/>
      <c r="F17" s="47"/>
      <c r="H17" s="36">
        <v>31</v>
      </c>
      <c r="I17" s="13"/>
      <c r="J17" s="44"/>
      <c r="K17" s="14"/>
      <c r="L17" s="14" t="e">
        <f t="shared" si="1"/>
        <v>#DIV/0!</v>
      </c>
      <c r="M17" s="47"/>
      <c r="O17" s="36">
        <v>54</v>
      </c>
      <c r="P17" s="43"/>
      <c r="Q17" s="44"/>
      <c r="R17" s="44"/>
      <c r="S17" s="14"/>
      <c r="T17" s="47"/>
    </row>
    <row r="18" spans="1:20" ht="18" customHeight="1" x14ac:dyDescent="0.3">
      <c r="A18" s="36">
        <v>9</v>
      </c>
      <c r="B18" s="13"/>
      <c r="C18" s="44"/>
      <c r="D18" s="14"/>
      <c r="E18" s="14"/>
      <c r="F18" s="47"/>
      <c r="H18" s="36">
        <v>32</v>
      </c>
      <c r="I18" s="13"/>
      <c r="J18" s="44"/>
      <c r="K18" s="14"/>
      <c r="L18" s="14" t="e">
        <f t="shared" si="1"/>
        <v>#DIV/0!</v>
      </c>
      <c r="M18" s="47"/>
      <c r="O18" s="36">
        <v>55</v>
      </c>
      <c r="P18" s="43"/>
      <c r="Q18" s="44"/>
      <c r="R18" s="44"/>
      <c r="S18" s="14"/>
      <c r="T18" s="47"/>
    </row>
    <row r="19" spans="1:20" ht="18" customHeight="1" x14ac:dyDescent="0.3">
      <c r="A19" s="36">
        <v>10</v>
      </c>
      <c r="B19" s="13"/>
      <c r="C19" s="44"/>
      <c r="D19" s="14"/>
      <c r="E19" s="14"/>
      <c r="F19" s="47"/>
      <c r="H19" s="36">
        <v>33</v>
      </c>
      <c r="I19" s="13"/>
      <c r="J19" s="44"/>
      <c r="K19" s="14"/>
      <c r="L19" s="14" t="e">
        <f t="shared" si="1"/>
        <v>#DIV/0!</v>
      </c>
      <c r="M19" s="47"/>
      <c r="O19" s="36">
        <v>56</v>
      </c>
      <c r="P19" s="43"/>
      <c r="Q19" s="44"/>
      <c r="R19" s="44"/>
      <c r="S19" s="14"/>
      <c r="T19" s="47"/>
    </row>
    <row r="20" spans="1:20" ht="18" customHeight="1" x14ac:dyDescent="0.3">
      <c r="A20" s="36">
        <v>11</v>
      </c>
      <c r="B20" s="13"/>
      <c r="C20" s="44"/>
      <c r="D20" s="14"/>
      <c r="E20" s="14"/>
      <c r="F20" s="47"/>
      <c r="H20" s="36">
        <v>34</v>
      </c>
      <c r="I20" s="13"/>
      <c r="J20" s="44"/>
      <c r="K20" s="14"/>
      <c r="L20" s="14" t="e">
        <f t="shared" si="1"/>
        <v>#DIV/0!</v>
      </c>
      <c r="M20" s="47"/>
      <c r="O20" s="36">
        <v>57</v>
      </c>
      <c r="P20" s="43"/>
      <c r="Q20" s="44"/>
      <c r="R20" s="44"/>
      <c r="S20" s="14"/>
      <c r="T20" s="47"/>
    </row>
    <row r="21" spans="1:20" ht="18" customHeight="1" x14ac:dyDescent="0.3">
      <c r="A21" s="36">
        <v>12</v>
      </c>
      <c r="B21" s="13"/>
      <c r="C21" s="44"/>
      <c r="D21" s="14"/>
      <c r="E21" s="14"/>
      <c r="F21" s="47"/>
      <c r="H21" s="36">
        <v>35</v>
      </c>
      <c r="I21" s="13"/>
      <c r="J21" s="44"/>
      <c r="K21" s="14"/>
      <c r="L21" s="14" t="e">
        <f t="shared" si="1"/>
        <v>#DIV/0!</v>
      </c>
      <c r="M21" s="47"/>
      <c r="O21" s="36">
        <v>58</v>
      </c>
      <c r="P21" s="43"/>
      <c r="Q21" s="44"/>
      <c r="R21" s="44"/>
      <c r="S21" s="14"/>
      <c r="T21" s="47"/>
    </row>
    <row r="22" spans="1:20" ht="18" customHeight="1" x14ac:dyDescent="0.3">
      <c r="A22" s="36">
        <v>13</v>
      </c>
      <c r="B22" s="13"/>
      <c r="C22" s="44"/>
      <c r="D22" s="14"/>
      <c r="E22" s="14"/>
      <c r="F22" s="47"/>
      <c r="H22" s="36">
        <v>36</v>
      </c>
      <c r="I22" s="13"/>
      <c r="J22" s="44"/>
      <c r="K22" s="14"/>
      <c r="L22" s="14" t="e">
        <f t="shared" si="1"/>
        <v>#DIV/0!</v>
      </c>
      <c r="M22" s="47"/>
      <c r="O22" s="36">
        <v>59</v>
      </c>
      <c r="P22" s="43"/>
      <c r="Q22" s="44"/>
      <c r="R22" s="44"/>
      <c r="S22" s="14"/>
      <c r="T22" s="47"/>
    </row>
    <row r="23" spans="1:20" ht="18" customHeight="1" x14ac:dyDescent="0.3">
      <c r="A23" s="36">
        <v>14</v>
      </c>
      <c r="B23" s="13"/>
      <c r="C23" s="44"/>
      <c r="D23" s="14"/>
      <c r="E23" s="14"/>
      <c r="F23" s="47"/>
      <c r="H23" s="36">
        <v>37</v>
      </c>
      <c r="I23" s="13"/>
      <c r="J23" s="44"/>
      <c r="K23" s="14"/>
      <c r="L23" s="14" t="e">
        <f t="shared" si="1"/>
        <v>#DIV/0!</v>
      </c>
      <c r="M23" s="47"/>
      <c r="O23" s="36">
        <v>60</v>
      </c>
      <c r="P23" s="43"/>
      <c r="Q23" s="44"/>
      <c r="R23" s="44"/>
      <c r="S23" s="14"/>
      <c r="T23" s="47"/>
    </row>
    <row r="24" spans="1:20" ht="18" customHeight="1" x14ac:dyDescent="0.3">
      <c r="A24" s="36">
        <v>15</v>
      </c>
      <c r="B24" s="13"/>
      <c r="C24" s="44"/>
      <c r="D24" s="14"/>
      <c r="E24" s="14"/>
      <c r="F24" s="47"/>
      <c r="H24" s="36">
        <v>38</v>
      </c>
      <c r="I24" s="13"/>
      <c r="J24" s="44"/>
      <c r="K24" s="14"/>
      <c r="L24" s="14" t="e">
        <f t="shared" si="1"/>
        <v>#DIV/0!</v>
      </c>
      <c r="M24" s="47"/>
      <c r="O24" s="36">
        <v>61</v>
      </c>
      <c r="P24" s="43"/>
      <c r="Q24" s="44"/>
      <c r="R24" s="44"/>
      <c r="S24" s="14"/>
      <c r="T24" s="47"/>
    </row>
    <row r="25" spans="1:20" ht="18" customHeight="1" x14ac:dyDescent="0.3">
      <c r="A25" s="36">
        <v>16</v>
      </c>
      <c r="B25" s="13"/>
      <c r="C25" s="44"/>
      <c r="D25" s="14"/>
      <c r="E25" s="14"/>
      <c r="F25" s="47"/>
      <c r="H25" s="36">
        <v>39</v>
      </c>
      <c r="I25" s="13"/>
      <c r="J25" s="44"/>
      <c r="K25" s="14"/>
      <c r="L25" s="14" t="e">
        <f t="shared" si="1"/>
        <v>#DIV/0!</v>
      </c>
      <c r="M25" s="47"/>
      <c r="O25" s="36">
        <v>62</v>
      </c>
      <c r="P25" s="43"/>
      <c r="Q25" s="44"/>
      <c r="R25" s="44"/>
      <c r="S25" s="14"/>
      <c r="T25" s="47"/>
    </row>
    <row r="26" spans="1:20" ht="18" customHeight="1" x14ac:dyDescent="0.3">
      <c r="A26" s="36">
        <v>17</v>
      </c>
      <c r="B26" s="13"/>
      <c r="C26" s="44"/>
      <c r="D26" s="14"/>
      <c r="E26" s="14"/>
      <c r="F26" s="47"/>
      <c r="H26" s="36">
        <v>40</v>
      </c>
      <c r="I26" s="13"/>
      <c r="J26" s="44"/>
      <c r="K26" s="14"/>
      <c r="L26" s="14" t="e">
        <f t="shared" si="1"/>
        <v>#DIV/0!</v>
      </c>
      <c r="M26" s="47"/>
      <c r="O26" s="36">
        <v>63</v>
      </c>
      <c r="P26" s="43"/>
      <c r="Q26" s="44"/>
      <c r="R26" s="44"/>
      <c r="S26" s="14"/>
      <c r="T26" s="47"/>
    </row>
    <row r="27" spans="1:20" ht="18" customHeight="1" x14ac:dyDescent="0.3">
      <c r="A27" s="36">
        <v>18</v>
      </c>
      <c r="B27" s="13"/>
      <c r="C27" s="44"/>
      <c r="D27" s="14"/>
      <c r="E27" s="14"/>
      <c r="F27" s="47"/>
      <c r="H27" s="36">
        <v>41</v>
      </c>
      <c r="I27" s="13"/>
      <c r="J27" s="44"/>
      <c r="K27" s="14"/>
      <c r="L27" s="14" t="e">
        <f t="shared" si="1"/>
        <v>#DIV/0!</v>
      </c>
      <c r="M27" s="47"/>
      <c r="O27" s="36">
        <v>64</v>
      </c>
      <c r="P27" s="43"/>
      <c r="Q27" s="44"/>
      <c r="R27" s="44"/>
      <c r="S27" s="14"/>
      <c r="T27" s="47"/>
    </row>
    <row r="28" spans="1:20" ht="18" customHeight="1" x14ac:dyDescent="0.3">
      <c r="A28" s="36">
        <v>19</v>
      </c>
      <c r="B28" s="13"/>
      <c r="C28" s="44"/>
      <c r="D28" s="14"/>
      <c r="E28" s="14"/>
      <c r="F28" s="47"/>
      <c r="H28" s="36">
        <v>42</v>
      </c>
      <c r="I28" s="13"/>
      <c r="J28" s="44"/>
      <c r="K28" s="14"/>
      <c r="L28" s="14" t="e">
        <f t="shared" si="1"/>
        <v>#DIV/0!</v>
      </c>
      <c r="M28" s="47"/>
      <c r="O28" s="36">
        <v>65</v>
      </c>
      <c r="P28" s="43"/>
      <c r="Q28" s="44"/>
      <c r="R28" s="44"/>
      <c r="S28" s="14"/>
      <c r="T28" s="47"/>
    </row>
    <row r="29" spans="1:20" ht="18" customHeight="1" x14ac:dyDescent="0.3">
      <c r="A29" s="36">
        <v>20</v>
      </c>
      <c r="B29" s="13"/>
      <c r="C29" s="44"/>
      <c r="D29" s="14"/>
      <c r="E29" s="14"/>
      <c r="F29" s="47"/>
      <c r="H29" s="36">
        <v>43</v>
      </c>
      <c r="I29" s="13"/>
      <c r="J29" s="44"/>
      <c r="K29" s="14"/>
      <c r="L29" s="14" t="e">
        <f t="shared" si="1"/>
        <v>#DIV/0!</v>
      </c>
      <c r="M29" s="47"/>
      <c r="O29" s="36">
        <v>66</v>
      </c>
      <c r="P29" s="43"/>
      <c r="Q29" s="44"/>
      <c r="R29" s="44"/>
      <c r="S29" s="14"/>
      <c r="T29" s="47"/>
    </row>
    <row r="30" spans="1:20" ht="18" customHeight="1" x14ac:dyDescent="0.3">
      <c r="A30" s="36">
        <v>21</v>
      </c>
      <c r="B30" s="13"/>
      <c r="C30" s="44"/>
      <c r="D30" s="14"/>
      <c r="E30" s="14"/>
      <c r="F30" s="47"/>
      <c r="H30" s="36">
        <v>44</v>
      </c>
      <c r="I30" s="13"/>
      <c r="J30" s="44"/>
      <c r="K30" s="14"/>
      <c r="L30" s="14" t="e">
        <f t="shared" si="1"/>
        <v>#DIV/0!</v>
      </c>
      <c r="M30" s="47"/>
      <c r="O30" s="36">
        <v>67</v>
      </c>
      <c r="P30" s="43"/>
      <c r="Q30" s="44"/>
      <c r="R30" s="44"/>
      <c r="S30" s="14"/>
      <c r="T30" s="47"/>
    </row>
    <row r="31" spans="1:20" ht="18" customHeight="1" x14ac:dyDescent="0.3">
      <c r="A31" s="36">
        <v>22</v>
      </c>
      <c r="B31" s="13"/>
      <c r="C31" s="44"/>
      <c r="D31" s="14"/>
      <c r="E31" s="14"/>
      <c r="F31" s="47"/>
      <c r="H31" s="36">
        <v>45</v>
      </c>
      <c r="I31" s="13"/>
      <c r="J31" s="44"/>
      <c r="K31" s="14"/>
      <c r="L31" s="14" t="e">
        <f t="shared" si="1"/>
        <v>#DIV/0!</v>
      </c>
      <c r="M31" s="47"/>
      <c r="O31" s="36">
        <v>68</v>
      </c>
      <c r="P31" s="43"/>
      <c r="Q31" s="44"/>
      <c r="R31" s="44"/>
      <c r="S31" s="14"/>
      <c r="T31" s="47"/>
    </row>
    <row r="32" spans="1:20" ht="18" customHeight="1" thickBot="1" x14ac:dyDescent="0.35">
      <c r="A32" s="37">
        <v>23</v>
      </c>
      <c r="B32" s="16"/>
      <c r="C32" s="101"/>
      <c r="D32" s="17"/>
      <c r="E32" s="14"/>
      <c r="F32" s="48"/>
      <c r="H32" s="36">
        <v>46</v>
      </c>
      <c r="I32" s="16"/>
      <c r="J32" s="46"/>
      <c r="K32" s="19"/>
      <c r="L32" s="14" t="e">
        <f t="shared" si="1"/>
        <v>#DIV/0!</v>
      </c>
      <c r="M32" s="48"/>
      <c r="O32" s="36">
        <v>69</v>
      </c>
      <c r="P32" s="45"/>
      <c r="Q32" s="46"/>
      <c r="R32" s="46"/>
      <c r="S32" s="14"/>
      <c r="T32" s="48"/>
    </row>
    <row r="33" spans="1:20" x14ac:dyDescent="0.3">
      <c r="A33" s="6"/>
      <c r="C33" s="139" t="s">
        <v>14</v>
      </c>
      <c r="D33" s="140"/>
      <c r="E33" s="9">
        <f>SUM(E10:E12)</f>
        <v>384.06934141952104</v>
      </c>
      <c r="J33" s="139" t="s">
        <v>14</v>
      </c>
      <c r="K33" s="140"/>
      <c r="L33" s="9"/>
      <c r="Q33" s="139" t="s">
        <v>14</v>
      </c>
      <c r="R33" s="140"/>
      <c r="S33" s="9">
        <f>SUM(S10:S14)</f>
        <v>212.26323071192186</v>
      </c>
      <c r="T33" s="113"/>
    </row>
    <row r="34" spans="1:20" ht="15" thickBot="1" x14ac:dyDescent="0.35">
      <c r="A34" s="6"/>
      <c r="C34" s="143" t="s">
        <v>15</v>
      </c>
      <c r="D34" s="144"/>
      <c r="E34" s="20">
        <f>IFERROR(ROUND(AVERAGE(E10:E32),0),"")</f>
        <v>128</v>
      </c>
      <c r="J34" s="143" t="s">
        <v>15</v>
      </c>
      <c r="K34" s="144"/>
      <c r="L34" s="20" t="str">
        <f>IFERROR(ROUND(AVERAGE(L10:L32),0),"")</f>
        <v/>
      </c>
      <c r="Q34" s="143" t="s">
        <v>15</v>
      </c>
      <c r="R34" s="144"/>
      <c r="S34" s="20">
        <f>IFERROR(ROUND(AVERAGE(S10:S32),0),"")</f>
        <v>42</v>
      </c>
      <c r="T34" s="113"/>
    </row>
    <row r="35" spans="1:20" ht="9.75" customHeight="1" thickBot="1" x14ac:dyDescent="0.35">
      <c r="A35" s="6"/>
      <c r="T35" s="113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>
        <v>7800</v>
      </c>
      <c r="J36" s="22" t="s">
        <v>18</v>
      </c>
      <c r="L36" s="23"/>
      <c r="T36" s="113"/>
    </row>
    <row r="37" spans="1:20" ht="15.6" x14ac:dyDescent="0.3">
      <c r="A37" s="24"/>
      <c r="C37" s="102" t="s">
        <v>19</v>
      </c>
      <c r="D37" s="49">
        <v>1.8</v>
      </c>
      <c r="E37" s="26" t="s">
        <v>20</v>
      </c>
      <c r="H37" s="40" t="s">
        <v>21</v>
      </c>
      <c r="I37" s="44">
        <v>1210</v>
      </c>
      <c r="J37" s="27" t="s">
        <v>18</v>
      </c>
      <c r="L37" s="28"/>
      <c r="T37" s="113"/>
    </row>
    <row r="38" spans="1:20" ht="15.6" x14ac:dyDescent="0.3">
      <c r="A38" s="6"/>
      <c r="C38" s="102" t="s">
        <v>19</v>
      </c>
      <c r="D38" s="49"/>
      <c r="E38" s="26" t="s">
        <v>20</v>
      </c>
      <c r="H38" s="40" t="s">
        <v>23</v>
      </c>
      <c r="I38" s="44">
        <v>6.5</v>
      </c>
      <c r="J38" s="27" t="s">
        <v>24</v>
      </c>
      <c r="L38" s="7" t="s">
        <v>68</v>
      </c>
      <c r="T38" s="113"/>
    </row>
    <row r="39" spans="1:20" ht="15" customHeight="1" x14ac:dyDescent="0.3">
      <c r="A39" s="6"/>
      <c r="C39" s="102" t="s">
        <v>22</v>
      </c>
      <c r="D39" s="49">
        <v>4.4000000000000004</v>
      </c>
      <c r="E39" s="26" t="s">
        <v>20</v>
      </c>
      <c r="H39" s="40" t="s">
        <v>26</v>
      </c>
      <c r="I39" s="44">
        <v>38</v>
      </c>
      <c r="J39" s="27" t="s">
        <v>27</v>
      </c>
      <c r="T39" s="113"/>
    </row>
    <row r="40" spans="1:20" ht="15.6" x14ac:dyDescent="0.3">
      <c r="A40" s="6"/>
      <c r="C40" s="102" t="s">
        <v>25</v>
      </c>
      <c r="D40" s="49">
        <v>2.5</v>
      </c>
      <c r="E40" s="26" t="s">
        <v>20</v>
      </c>
      <c r="H40" s="40" t="s">
        <v>29</v>
      </c>
      <c r="I40" s="44">
        <v>384</v>
      </c>
      <c r="J40" s="27" t="s">
        <v>30</v>
      </c>
      <c r="T40" s="113"/>
    </row>
    <row r="41" spans="1:20" ht="15.6" x14ac:dyDescent="0.3">
      <c r="A41" s="6"/>
      <c r="C41" s="102" t="s">
        <v>28</v>
      </c>
      <c r="D41" s="49">
        <v>22</v>
      </c>
      <c r="E41" s="26" t="s">
        <v>20</v>
      </c>
      <c r="H41" s="40" t="s">
        <v>32</v>
      </c>
      <c r="I41" s="44"/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102" t="s">
        <v>31</v>
      </c>
      <c r="D42" s="49">
        <v>32</v>
      </c>
      <c r="E42" s="26" t="s">
        <v>20</v>
      </c>
      <c r="H42" s="40" t="s">
        <v>48</v>
      </c>
      <c r="I42" s="44">
        <v>212</v>
      </c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102" t="s">
        <v>58</v>
      </c>
      <c r="D43" s="49">
        <v>32</v>
      </c>
      <c r="E43" s="26"/>
      <c r="H43" s="40"/>
      <c r="I43" s="44"/>
      <c r="J43" s="27"/>
      <c r="L43" s="78"/>
      <c r="M43" s="78"/>
      <c r="P43" s="78"/>
      <c r="Q43" s="78"/>
      <c r="R43" s="78"/>
      <c r="S43" s="78"/>
      <c r="T43" s="79"/>
    </row>
    <row r="44" spans="1:20" ht="15.6" x14ac:dyDescent="0.3">
      <c r="A44" s="6"/>
      <c r="C44" s="102" t="s">
        <v>36</v>
      </c>
      <c r="D44" s="49">
        <v>24</v>
      </c>
      <c r="E44" s="26" t="s">
        <v>20</v>
      </c>
      <c r="H44" s="40" t="s">
        <v>37</v>
      </c>
      <c r="I44" s="44">
        <v>596</v>
      </c>
      <c r="J44" s="27" t="s">
        <v>30</v>
      </c>
      <c r="T44" s="113"/>
    </row>
    <row r="45" spans="1:20" ht="15.6" x14ac:dyDescent="0.3">
      <c r="A45" s="6"/>
      <c r="C45" s="102" t="s">
        <v>41</v>
      </c>
      <c r="D45" s="49">
        <v>2.2000000000000002</v>
      </c>
      <c r="E45" s="26" t="s">
        <v>20</v>
      </c>
      <c r="H45" s="40" t="s">
        <v>42</v>
      </c>
      <c r="I45" s="44">
        <v>11400</v>
      </c>
      <c r="J45" s="27" t="s">
        <v>18</v>
      </c>
      <c r="T45" s="113"/>
    </row>
    <row r="46" spans="1:20" ht="16.2" thickBot="1" x14ac:dyDescent="0.35">
      <c r="A46" s="31"/>
      <c r="B46" s="32"/>
      <c r="C46" s="110" t="s">
        <v>43</v>
      </c>
      <c r="D46" s="50">
        <v>0</v>
      </c>
      <c r="E46" s="30" t="s">
        <v>20</v>
      </c>
      <c r="F46" s="42"/>
      <c r="G46" s="32"/>
      <c r="H46" s="40" t="s">
        <v>44</v>
      </c>
      <c r="I46" s="44">
        <v>2.5</v>
      </c>
      <c r="J46" s="27" t="s">
        <v>45</v>
      </c>
      <c r="K46" s="32"/>
      <c r="L46" s="32"/>
      <c r="M46" s="42"/>
      <c r="N46" s="32"/>
      <c r="O46" s="42"/>
      <c r="P46" s="32"/>
      <c r="Q46" s="42"/>
      <c r="R46" s="32"/>
      <c r="S46" s="32"/>
      <c r="T46" s="114"/>
    </row>
    <row r="47" spans="1:20" ht="15" thickBot="1" x14ac:dyDescent="0.35">
      <c r="C47" s="42"/>
      <c r="D47" s="32"/>
      <c r="E47" s="32"/>
      <c r="H47" s="41" t="s">
        <v>46</v>
      </c>
      <c r="I47" s="46">
        <v>0.59599999999999997</v>
      </c>
      <c r="J47" s="33" t="s">
        <v>45</v>
      </c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dataValidations count="9">
    <dataValidation type="list" allowBlank="1" showErrorMessage="1" errorTitle="Stage" error="Pick the stage from the list." sqref="A8 H8 O8" xr:uid="{008305DF-2825-4366-B9FD-EC3BC00691DA}">
      <formula1>"I STAGE,II STAGE,III STAGE,IV STAGE"</formula1>
    </dataValidation>
    <dataValidation type="list" showErrorMessage="1" errorTitle="Zone" error="Pick a zone from the list." sqref="C5" xr:uid="{27369237-B0EE-42B2-B0DA-DDD8F76C28F3}">
      <formula1>"Ahmedabad,Vadodara,Ankleshwar,Panoli,Jhagadia,Dahej,Vapi"</formula1>
    </dataValidation>
    <dataValidation type="list" allowBlank="1" sqref="K10:K32 D10:D32 R10:R32" xr:uid="{9856CF02-82CC-4E86-8A08-C297E9E3E9DB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8F64158F-A55E-455A-9BBC-CB2C5E73F1BE}">
      <formula1>1</formula1>
    </dataValidation>
    <dataValidation type="date" operator="greaterThan" allowBlank="1" showErrorMessage="1" errorTitle="Date" error="Enter a real date." sqref="B10:B32 I3 I10:I32 P10:P32" xr:uid="{C48D9659-BEA4-4B6E-9154-E407C7B4EF56}">
      <formula1>DATE(2000,1,1)</formula1>
    </dataValidation>
    <dataValidation type="decimal" operator="greaterThanOrEqual" allowBlank="1" showErrorMessage="1" errorTitle="Flow" error="Flow must be a number &gt;= 0." sqref="C10:C32 L10:L32 J10:J32 E10:E32 Q10:Q32 S10:S32" xr:uid="{8B0B3F80-530A-408E-B9AE-D08D40F36C5C}">
      <formula1>0</formula1>
    </dataValidation>
    <dataValidation type="decimal" allowBlank="1" showErrorMessage="1" errorTitle="Conductivity" error="Conductivity must be 0..50000 us/cm." sqref="F10:F32 M10:M32 T10:T32" xr:uid="{72C6DAF9-6B31-4C4B-8C03-6FE6F5D0184F}">
      <formula1>0</formula1>
      <formula2>50000</formula2>
    </dataValidation>
    <dataValidation type="decimal" operator="greaterThanOrEqual" allowBlank="1" showErrorMessage="1" errorTitle="Value" error="Value must be a number &gt;= 0." sqref="I36:I47 D37:D46" xr:uid="{B286134C-3F37-408C-A525-68C5B4BEAB4F}">
      <formula1>0</formula1>
    </dataValidation>
    <dataValidation type="whole" operator="greaterThanOrEqual" showErrorMessage="1" errorTitle="Plant SR No" error="Plant SR No must be a whole number &gt;= 1." sqref="C4" xr:uid="{F3F9B11E-338C-4F2E-B647-A25E4C9386C3}">
      <formula1>1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3B29-2902-4E13-AA7E-37456B0EBE79}">
  <dimension ref="A1:U46"/>
  <sheetViews>
    <sheetView topLeftCell="A5" workbookViewId="0">
      <selection activeCell="E16" sqref="E16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38" customWidth="1"/>
    <col min="4" max="4" width="10.109375" style="7" bestFit="1" customWidth="1"/>
    <col min="5" max="5" width="8.6640625" style="7" customWidth="1"/>
    <col min="6" max="6" width="10.6640625" style="38" customWidth="1"/>
    <col min="7" max="7" width="2" style="7" customWidth="1"/>
    <col min="8" max="8" width="14" style="38" customWidth="1"/>
    <col min="9" max="9" width="9.6640625" style="7" customWidth="1"/>
    <col min="10" max="10" width="13" style="38" customWidth="1"/>
    <col min="11" max="11" width="10.109375" style="7" bestFit="1" customWidth="1"/>
    <col min="12" max="12" width="8.6640625" style="7" customWidth="1"/>
    <col min="13" max="13" width="10.6640625" style="38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70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71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thickBot="1" x14ac:dyDescent="0.35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thickBot="1" x14ac:dyDescent="0.45">
      <c r="A10" s="36">
        <v>1</v>
      </c>
      <c r="B10" s="13"/>
      <c r="C10" s="44">
        <v>8.66</v>
      </c>
      <c r="D10" s="14" t="s">
        <v>78</v>
      </c>
      <c r="E10" s="14">
        <f>1800/C10</f>
        <v>207.85219399538107</v>
      </c>
      <c r="F10" s="47">
        <v>829</v>
      </c>
      <c r="H10" s="36">
        <v>24</v>
      </c>
      <c r="I10" s="191"/>
      <c r="J10" s="44">
        <v>9.77</v>
      </c>
      <c r="K10" s="14" t="s">
        <v>78</v>
      </c>
      <c r="L10" s="14">
        <f>1800/J10</f>
        <v>184.23746161719549</v>
      </c>
      <c r="M10" s="47">
        <v>1590</v>
      </c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thickBot="1" x14ac:dyDescent="0.45">
      <c r="A11" s="36">
        <v>2</v>
      </c>
      <c r="B11" s="13"/>
      <c r="C11" s="44">
        <v>9.8000000000000007</v>
      </c>
      <c r="D11" s="14" t="s">
        <v>78</v>
      </c>
      <c r="E11" s="14">
        <f t="shared" ref="E11:E13" si="0">1800/C11</f>
        <v>183.67346938775509</v>
      </c>
      <c r="F11" s="47">
        <v>730</v>
      </c>
      <c r="H11" s="36">
        <v>25</v>
      </c>
      <c r="I11" s="191">
        <v>44927</v>
      </c>
      <c r="J11" s="44">
        <v>10.78</v>
      </c>
      <c r="K11" s="14" t="s">
        <v>78</v>
      </c>
      <c r="L11" s="14">
        <f t="shared" ref="L11:L16" si="1">1800/J11</f>
        <v>166.97588126159556</v>
      </c>
      <c r="M11" s="47">
        <v>1635</v>
      </c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thickBot="1" x14ac:dyDescent="0.45">
      <c r="A12" s="36">
        <v>3</v>
      </c>
      <c r="B12" s="13"/>
      <c r="C12" s="44">
        <v>7.6</v>
      </c>
      <c r="D12" s="14" t="s">
        <v>78</v>
      </c>
      <c r="E12" s="14">
        <f t="shared" si="0"/>
        <v>236.84210526315792</v>
      </c>
      <c r="F12" s="47">
        <v>753</v>
      </c>
      <c r="H12" s="36">
        <v>26</v>
      </c>
      <c r="I12" s="191"/>
      <c r="J12" s="44">
        <v>10.09</v>
      </c>
      <c r="K12" s="14" t="s">
        <v>78</v>
      </c>
      <c r="L12" s="14">
        <f t="shared" si="1"/>
        <v>178.39444995044599</v>
      </c>
      <c r="M12" s="47">
        <v>1516</v>
      </c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thickBot="1" x14ac:dyDescent="0.45">
      <c r="A13" s="36">
        <v>4</v>
      </c>
      <c r="B13" s="13"/>
      <c r="C13" s="44">
        <v>9.1999999999999993</v>
      </c>
      <c r="D13" s="14" t="s">
        <v>78</v>
      </c>
      <c r="E13" s="14">
        <f t="shared" si="0"/>
        <v>195.6521739130435</v>
      </c>
      <c r="F13" s="47">
        <v>842</v>
      </c>
      <c r="H13" s="36">
        <v>27</v>
      </c>
      <c r="I13" s="191"/>
      <c r="J13" s="44">
        <v>10.61</v>
      </c>
      <c r="K13" s="14" t="s">
        <v>78</v>
      </c>
      <c r="L13" s="14">
        <f t="shared" si="1"/>
        <v>169.65127238454289</v>
      </c>
      <c r="M13" s="47">
        <v>1525</v>
      </c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thickBot="1" x14ac:dyDescent="0.45">
      <c r="A14" s="36">
        <v>5</v>
      </c>
      <c r="B14" s="13"/>
      <c r="C14" s="44"/>
      <c r="D14" s="14"/>
      <c r="E14" s="14"/>
      <c r="F14" s="47"/>
      <c r="H14" s="36">
        <v>28</v>
      </c>
      <c r="I14" s="191"/>
      <c r="J14" s="44">
        <v>11.38</v>
      </c>
      <c r="K14" s="14" t="s">
        <v>78</v>
      </c>
      <c r="L14" s="14">
        <f t="shared" si="1"/>
        <v>158.17223198594024</v>
      </c>
      <c r="M14" s="47">
        <v>1734</v>
      </c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thickBot="1" x14ac:dyDescent="0.45">
      <c r="A15" s="36">
        <v>6</v>
      </c>
      <c r="B15" s="13"/>
      <c r="C15" s="44"/>
      <c r="D15" s="14"/>
      <c r="E15" s="14"/>
      <c r="F15" s="47"/>
      <c r="H15" s="36">
        <v>29</v>
      </c>
      <c r="I15" s="191">
        <v>44927</v>
      </c>
      <c r="J15" s="44">
        <v>10.11</v>
      </c>
      <c r="K15" s="14" t="s">
        <v>78</v>
      </c>
      <c r="L15" s="14">
        <f t="shared" si="1"/>
        <v>178.04154302670625</v>
      </c>
      <c r="M15" s="47">
        <v>1626</v>
      </c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x14ac:dyDescent="0.4">
      <c r="A16" s="36">
        <v>7</v>
      </c>
      <c r="B16" s="13"/>
      <c r="C16" s="44"/>
      <c r="D16" s="14"/>
      <c r="E16" s="14"/>
      <c r="F16" s="47"/>
      <c r="H16" s="36">
        <v>30</v>
      </c>
      <c r="I16" s="191">
        <v>44927</v>
      </c>
      <c r="J16" s="44">
        <v>9.0299999999999994</v>
      </c>
      <c r="K16" s="14" t="s">
        <v>78</v>
      </c>
      <c r="L16" s="14">
        <f t="shared" si="1"/>
        <v>199.33554817275748</v>
      </c>
      <c r="M16" s="47">
        <v>1629</v>
      </c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x14ac:dyDescent="0.3">
      <c r="A17" s="36">
        <v>8</v>
      </c>
      <c r="B17" s="13"/>
      <c r="C17" s="44"/>
      <c r="D17" s="14"/>
      <c r="E17" s="14"/>
      <c r="F17" s="47"/>
      <c r="H17" s="36">
        <v>31</v>
      </c>
      <c r="I17" s="13"/>
      <c r="J17" s="44"/>
      <c r="K17" s="14"/>
      <c r="L17" s="14"/>
      <c r="M17" s="47"/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x14ac:dyDescent="0.3">
      <c r="A18" s="36">
        <v>9</v>
      </c>
      <c r="B18" s="13"/>
      <c r="C18" s="44"/>
      <c r="D18" s="14"/>
      <c r="E18" s="14"/>
      <c r="F18" s="47"/>
      <c r="H18" s="36">
        <v>32</v>
      </c>
      <c r="I18" s="13"/>
      <c r="J18" s="44"/>
      <c r="K18" s="14"/>
      <c r="L18" s="14"/>
      <c r="M18" s="47"/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x14ac:dyDescent="0.3">
      <c r="A19" s="36">
        <v>10</v>
      </c>
      <c r="B19" s="13"/>
      <c r="C19" s="44"/>
      <c r="D19" s="14"/>
      <c r="E19" s="14"/>
      <c r="F19" s="47"/>
      <c r="H19" s="36">
        <v>33</v>
      </c>
      <c r="I19" s="13"/>
      <c r="J19" s="44"/>
      <c r="K19" s="14"/>
      <c r="L19" s="14"/>
      <c r="M19" s="47"/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3">
      <c r="A20" s="36">
        <v>11</v>
      </c>
      <c r="B20" s="13"/>
      <c r="C20" s="44"/>
      <c r="D20" s="14"/>
      <c r="E20" s="14"/>
      <c r="F20" s="47"/>
      <c r="H20" s="36">
        <v>34</v>
      </c>
      <c r="I20" s="13"/>
      <c r="J20" s="44"/>
      <c r="K20" s="14"/>
      <c r="L20" s="14"/>
      <c r="M20" s="47"/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3">
      <c r="A21" s="36">
        <v>12</v>
      </c>
      <c r="B21" s="13"/>
      <c r="C21" s="44"/>
      <c r="D21" s="14"/>
      <c r="E21" s="14"/>
      <c r="F21" s="47"/>
      <c r="H21" s="36">
        <v>35</v>
      </c>
      <c r="I21" s="13"/>
      <c r="J21" s="44"/>
      <c r="K21" s="14"/>
      <c r="L21" s="14"/>
      <c r="M21" s="47"/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>
        <v>13</v>
      </c>
      <c r="B22" s="13"/>
      <c r="C22" s="44"/>
      <c r="D22" s="14"/>
      <c r="E22" s="14"/>
      <c r="F22" s="47"/>
      <c r="H22" s="36">
        <v>36</v>
      </c>
      <c r="I22" s="13"/>
      <c r="J22" s="44"/>
      <c r="K22" s="14"/>
      <c r="L22" s="14"/>
      <c r="M22" s="47"/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>
        <v>14</v>
      </c>
      <c r="B23" s="13"/>
      <c r="C23" s="44"/>
      <c r="D23" s="14"/>
      <c r="E23" s="14"/>
      <c r="F23" s="47"/>
      <c r="H23" s="36">
        <v>37</v>
      </c>
      <c r="I23" s="13"/>
      <c r="J23" s="44"/>
      <c r="K23" s="14"/>
      <c r="L23" s="14"/>
      <c r="M23" s="47"/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>
        <v>15</v>
      </c>
      <c r="B24" s="13"/>
      <c r="C24" s="44"/>
      <c r="D24" s="14"/>
      <c r="E24" s="14"/>
      <c r="F24" s="47"/>
      <c r="H24" s="36">
        <v>38</v>
      </c>
      <c r="I24" s="13"/>
      <c r="J24" s="44"/>
      <c r="K24" s="14"/>
      <c r="L24" s="14"/>
      <c r="M24" s="47"/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>
        <v>16</v>
      </c>
      <c r="B25" s="13"/>
      <c r="C25" s="44"/>
      <c r="D25" s="14"/>
      <c r="E25" s="14"/>
      <c r="F25" s="47"/>
      <c r="H25" s="36">
        <v>39</v>
      </c>
      <c r="I25" s="13"/>
      <c r="J25" s="44"/>
      <c r="K25" s="14"/>
      <c r="L25" s="14"/>
      <c r="M25" s="47"/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>
        <v>17</v>
      </c>
      <c r="B26" s="13"/>
      <c r="C26" s="44"/>
      <c r="D26" s="14"/>
      <c r="E26" s="14"/>
      <c r="F26" s="47"/>
      <c r="H26" s="36">
        <v>40</v>
      </c>
      <c r="I26" s="13"/>
      <c r="J26" s="44"/>
      <c r="K26" s="14"/>
      <c r="L26" s="14"/>
      <c r="M26" s="47"/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>
        <v>18</v>
      </c>
      <c r="B27" s="13"/>
      <c r="C27" s="44"/>
      <c r="D27" s="14"/>
      <c r="E27" s="14"/>
      <c r="F27" s="47"/>
      <c r="H27" s="36">
        <v>41</v>
      </c>
      <c r="I27" s="13"/>
      <c r="J27" s="44"/>
      <c r="K27" s="14"/>
      <c r="L27" s="14"/>
      <c r="M27" s="47"/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>
        <v>19</v>
      </c>
      <c r="B28" s="13"/>
      <c r="C28" s="44"/>
      <c r="D28" s="14"/>
      <c r="E28" s="14"/>
      <c r="F28" s="47"/>
      <c r="H28" s="36">
        <v>42</v>
      </c>
      <c r="I28" s="13"/>
      <c r="J28" s="44"/>
      <c r="K28" s="14"/>
      <c r="L28" s="14"/>
      <c r="M28" s="47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>
        <v>20</v>
      </c>
      <c r="B29" s="13"/>
      <c r="C29" s="44"/>
      <c r="D29" s="14"/>
      <c r="E29" s="14"/>
      <c r="F29" s="47"/>
      <c r="H29" s="36">
        <v>43</v>
      </c>
      <c r="I29" s="13"/>
      <c r="J29" s="44"/>
      <c r="K29" s="14"/>
      <c r="L29" s="14"/>
      <c r="M29" s="47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>
        <v>21</v>
      </c>
      <c r="B30" s="13"/>
      <c r="C30" s="44"/>
      <c r="D30" s="14"/>
      <c r="E30" s="14"/>
      <c r="F30" s="47"/>
      <c r="H30" s="36">
        <v>44</v>
      </c>
      <c r="I30" s="13"/>
      <c r="J30" s="44"/>
      <c r="K30" s="14"/>
      <c r="L30" s="14"/>
      <c r="M30" s="47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>
        <v>22</v>
      </c>
      <c r="B31" s="13"/>
      <c r="C31" s="44"/>
      <c r="D31" s="14"/>
      <c r="E31" s="14"/>
      <c r="F31" s="47"/>
      <c r="H31" s="36">
        <v>45</v>
      </c>
      <c r="I31" s="13"/>
      <c r="J31" s="44"/>
      <c r="K31" s="14"/>
      <c r="L31" s="14"/>
      <c r="M31" s="47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>
        <v>23</v>
      </c>
      <c r="B32" s="16"/>
      <c r="C32" s="101"/>
      <c r="D32" s="17"/>
      <c r="E32" s="14"/>
      <c r="F32" s="48"/>
      <c r="H32" s="36">
        <v>46</v>
      </c>
      <c r="I32" s="16"/>
      <c r="J32" s="46"/>
      <c r="K32" s="19"/>
      <c r="L32" s="14"/>
      <c r="M32" s="4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9">
        <f>SUM(E10:E13)</f>
        <v>824.01994255933755</v>
      </c>
      <c r="J33" s="139" t="s">
        <v>14</v>
      </c>
      <c r="K33" s="140"/>
      <c r="L33" s="9">
        <f>SUM(L10:L16)</f>
        <v>1234.8083883991837</v>
      </c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20">
        <f>IFERROR(ROUND(AVERAGE(E10:E32),0),"")</f>
        <v>206</v>
      </c>
      <c r="J34" s="143" t="s">
        <v>15</v>
      </c>
      <c r="K34" s="144"/>
      <c r="L34" s="20">
        <f>IFERROR(ROUND(AVERAGE(L10:L32),0),"")</f>
        <v>176</v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>
        <v>4910</v>
      </c>
      <c r="J36" s="22" t="s">
        <v>18</v>
      </c>
      <c r="L36" s="23"/>
      <c r="T36" s="8"/>
    </row>
    <row r="37" spans="1:20" ht="15.6" x14ac:dyDescent="0.3">
      <c r="A37" s="24"/>
      <c r="C37" s="102" t="s">
        <v>19</v>
      </c>
      <c r="D37" s="49">
        <v>0.2</v>
      </c>
      <c r="E37" s="26" t="s">
        <v>20</v>
      </c>
      <c r="H37" s="40" t="s">
        <v>21</v>
      </c>
      <c r="I37" s="44">
        <v>1290</v>
      </c>
      <c r="J37" s="27" t="s">
        <v>18</v>
      </c>
      <c r="L37" s="28"/>
      <c r="T37" s="8"/>
    </row>
    <row r="38" spans="1:20" ht="15.6" x14ac:dyDescent="0.3">
      <c r="A38" s="6"/>
      <c r="C38" s="102" t="s">
        <v>19</v>
      </c>
      <c r="D38" s="49"/>
      <c r="E38" s="26" t="s">
        <v>20</v>
      </c>
      <c r="H38" s="40" t="s">
        <v>23</v>
      </c>
      <c r="I38" s="44">
        <v>6.4</v>
      </c>
      <c r="J38" s="27" t="s">
        <v>24</v>
      </c>
      <c r="T38" s="8"/>
    </row>
    <row r="39" spans="1:20" ht="15" customHeight="1" x14ac:dyDescent="0.3">
      <c r="A39" s="6"/>
      <c r="C39" s="102" t="s">
        <v>22</v>
      </c>
      <c r="D39" s="49">
        <v>2.2000000000000002</v>
      </c>
      <c r="E39" s="26" t="s">
        <v>20</v>
      </c>
      <c r="H39" s="40" t="s">
        <v>26</v>
      </c>
      <c r="I39" s="44">
        <v>43.2</v>
      </c>
      <c r="J39" s="27" t="s">
        <v>27</v>
      </c>
      <c r="T39" s="8"/>
    </row>
    <row r="40" spans="1:20" ht="15.6" x14ac:dyDescent="0.3">
      <c r="A40" s="6"/>
      <c r="C40" s="102" t="s">
        <v>25</v>
      </c>
      <c r="D40" s="49">
        <v>1.8</v>
      </c>
      <c r="E40" s="26" t="s">
        <v>20</v>
      </c>
      <c r="H40" s="40" t="s">
        <v>29</v>
      </c>
      <c r="I40" s="44">
        <v>824</v>
      </c>
      <c r="J40" s="27" t="s">
        <v>30</v>
      </c>
      <c r="T40" s="8"/>
    </row>
    <row r="41" spans="1:20" ht="15.6" x14ac:dyDescent="0.3">
      <c r="A41" s="6"/>
      <c r="C41" s="102" t="s">
        <v>28</v>
      </c>
      <c r="D41" s="49">
        <v>13</v>
      </c>
      <c r="E41" s="26" t="s">
        <v>20</v>
      </c>
      <c r="H41" s="40" t="s">
        <v>32</v>
      </c>
      <c r="I41" s="44">
        <v>1234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102" t="s">
        <v>31</v>
      </c>
      <c r="D42" s="49">
        <v>16</v>
      </c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102" t="s">
        <v>36</v>
      </c>
      <c r="D43" s="49">
        <v>11</v>
      </c>
      <c r="E43" s="26" t="s">
        <v>20</v>
      </c>
      <c r="H43" s="40" t="s">
        <v>37</v>
      </c>
      <c r="I43" s="44">
        <v>2058</v>
      </c>
      <c r="J43" s="27" t="s">
        <v>30</v>
      </c>
      <c r="T43" s="8"/>
    </row>
    <row r="44" spans="1:20" ht="15.6" x14ac:dyDescent="0.3">
      <c r="A44" s="6"/>
      <c r="C44" s="102" t="s">
        <v>41</v>
      </c>
      <c r="D44" s="49">
        <v>0</v>
      </c>
      <c r="E44" s="26" t="s">
        <v>20</v>
      </c>
      <c r="H44" s="40" t="s">
        <v>42</v>
      </c>
      <c r="I44" s="44">
        <v>7640</v>
      </c>
      <c r="J44" s="27" t="s">
        <v>18</v>
      </c>
      <c r="T44" s="8"/>
    </row>
    <row r="45" spans="1:20" ht="16.2" thickBot="1" x14ac:dyDescent="0.35">
      <c r="A45" s="31"/>
      <c r="B45" s="32"/>
      <c r="C45" s="110" t="s">
        <v>43</v>
      </c>
      <c r="D45" s="50">
        <v>0</v>
      </c>
      <c r="E45" s="30" t="s">
        <v>20</v>
      </c>
      <c r="F45" s="42"/>
      <c r="G45" s="32"/>
      <c r="H45" s="40" t="s">
        <v>44</v>
      </c>
      <c r="I45" s="44">
        <v>3.1</v>
      </c>
      <c r="J45" s="27" t="s">
        <v>45</v>
      </c>
      <c r="K45" s="32"/>
      <c r="L45" s="32"/>
      <c r="M45" s="4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42"/>
      <c r="D46" s="32"/>
      <c r="E46" s="32"/>
      <c r="H46" s="41" t="s">
        <v>46</v>
      </c>
      <c r="I46" s="46">
        <v>2</v>
      </c>
      <c r="J46" s="33" t="s">
        <v>45</v>
      </c>
    </row>
  </sheetData>
  <mergeCells count="22"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A8:F8"/>
    <mergeCell ref="H8:M8"/>
    <mergeCell ref="O8:T8"/>
    <mergeCell ref="C33:D33"/>
    <mergeCell ref="J33:K33"/>
    <mergeCell ref="Q33:R33"/>
    <mergeCell ref="A6:T6"/>
    <mergeCell ref="A1:L3"/>
    <mergeCell ref="M2:T2"/>
    <mergeCell ref="M3:T3"/>
    <mergeCell ref="A4:T4"/>
    <mergeCell ref="A5:T5"/>
  </mergeCells>
  <dataValidations count="9">
    <dataValidation type="list" allowBlank="1" showErrorMessage="1" errorTitle="Stage" error="Pick the stage from the list." sqref="A8 H8 O8" xr:uid="{7EAAC09D-F624-4707-AF0B-BC1ED1436260}">
      <formula1>"I STAGE,II STAGE,III STAGE,IV STAGE"</formula1>
    </dataValidation>
    <dataValidation type="list" showErrorMessage="1" errorTitle="Zone" error="Pick a zone from the list." sqref="C5" xr:uid="{67CF142D-EDD5-475C-BF45-274F1B8A076A}">
      <formula1>"Ahmedabad,Vadodara,Ankleshwar,Panoli,Jhagadia,Dahej,Vapi"</formula1>
    </dataValidation>
    <dataValidation type="list" allowBlank="1" sqref="K10:K32 R10:R32 D10:D32" xr:uid="{AD66F336-0120-4C75-9EF1-A32FCECB8843}">
      <formula1>"Non Colour,Colour"</formula1>
    </dataValidation>
    <dataValidation type="whole" operator="greaterThanOrEqual" allowBlank="1" showErrorMessage="1" errorTitle="Module no." error="Module number must be a whole number &gt;= 1." sqref="A10:A32 H10:H32 O10:O32" xr:uid="{9EC5283E-C5E5-4BD0-99D1-0E68E865EEEA}">
      <formula1>1</formula1>
    </dataValidation>
    <dataValidation type="date" operator="greaterThan" allowBlank="1" showErrorMessage="1" errorTitle="Date" error="Enter a real date." sqref="B10:B32 I3 I10:I32 P10:P32" xr:uid="{F676D3CF-4602-4877-BE16-370247722F25}">
      <formula1>DATE(2000,1,1)</formula1>
    </dataValidation>
    <dataValidation type="decimal" operator="greaterThanOrEqual" allowBlank="1" showErrorMessage="1" errorTitle="Flow" error="Flow must be a number &gt;= 0." sqref="C10:C32 E10:E32 J10:J32 S10:S32 Q10:Q32 L10:L32" xr:uid="{439F9A9D-AA71-4C1B-AB05-A537866CAA19}">
      <formula1>0</formula1>
    </dataValidation>
    <dataValidation type="decimal" allowBlank="1" showErrorMessage="1" errorTitle="Conductivity" error="Conductivity must be 0..50000 us/cm." sqref="F10:F32 M10:M32 T10:T32" xr:uid="{7E8EFD65-D444-4F71-B6C6-EFAEF4059E28}">
      <formula1>0</formula1>
      <formula2>50000</formula2>
    </dataValidation>
    <dataValidation type="decimal" operator="greaterThanOrEqual" allowBlank="1" showErrorMessage="1" errorTitle="Value" error="Value must be a number &gt;= 0." sqref="I36:I46 D37:D45" xr:uid="{0938E237-E580-4648-A871-E9428867B712}">
      <formula1>0</formula1>
    </dataValidation>
    <dataValidation type="whole" operator="greaterThanOrEqual" showErrorMessage="1" errorTitle="Plant SR No" error="Plant SR No must be a whole number &gt;= 1." sqref="C4" xr:uid="{791F55F5-66A5-4409-9FEF-FB65CE22B5AE}">
      <formula1>1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34F1-B632-4C60-9DA3-AF65ACB37D29}">
  <dimension ref="A1:U50"/>
  <sheetViews>
    <sheetView workbookViewId="0">
      <selection activeCell="L48" sqref="L48"/>
    </sheetView>
  </sheetViews>
  <sheetFormatPr defaultColWidth="9.109375" defaultRowHeight="14.4" x14ac:dyDescent="0.3"/>
  <cols>
    <col min="1" max="1" width="8.6640625" style="7" customWidth="1"/>
    <col min="2" max="2" width="11.88671875" style="7" customWidth="1"/>
    <col min="3" max="3" width="13" style="38" customWidth="1"/>
    <col min="4" max="4" width="11.88671875" style="7" customWidth="1"/>
    <col min="5" max="5" width="8.6640625" style="38" customWidth="1"/>
    <col min="6" max="6" width="10.6640625" style="38" customWidth="1"/>
    <col min="7" max="7" width="2" style="7" customWidth="1"/>
    <col min="8" max="8" width="14" style="38" customWidth="1"/>
    <col min="9" max="9" width="11.6640625" style="7" customWidth="1"/>
    <col min="10" max="10" width="13" style="38" customWidth="1"/>
    <col min="11" max="11" width="12.44140625" style="7" customWidth="1"/>
    <col min="12" max="12" width="8.6640625" style="38" customWidth="1"/>
    <col min="13" max="13" width="10.6640625" style="38" customWidth="1"/>
    <col min="14" max="14" width="2" style="7" customWidth="1"/>
    <col min="15" max="15" width="8.6640625" style="38" customWidth="1"/>
    <col min="16" max="16" width="11.77734375" style="7" customWidth="1"/>
    <col min="17" max="17" width="13" style="7" customWidth="1"/>
    <col min="18" max="18" width="12" style="7" customWidth="1"/>
    <col min="19" max="19" width="8.6640625" style="38" customWidth="1"/>
    <col min="20" max="20" width="10.6640625" style="38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156"/>
      <c r="T1" s="112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72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73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113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74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55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13">
        <v>44678</v>
      </c>
      <c r="C10" s="44">
        <v>6.66</v>
      </c>
      <c r="D10" s="56" t="s">
        <v>49</v>
      </c>
      <c r="E10" s="44">
        <f>3600/C10</f>
        <v>540.54054054054052</v>
      </c>
      <c r="F10" s="47">
        <v>280</v>
      </c>
      <c r="H10" s="36">
        <v>13</v>
      </c>
      <c r="I10" s="13">
        <v>44678</v>
      </c>
      <c r="J10" s="44">
        <v>6.11</v>
      </c>
      <c r="K10" s="56" t="s">
        <v>49</v>
      </c>
      <c r="L10" s="44">
        <f>1800/J10</f>
        <v>294.59901800327333</v>
      </c>
      <c r="M10" s="47">
        <v>700</v>
      </c>
      <c r="O10" s="36">
        <v>25</v>
      </c>
      <c r="P10" s="13">
        <v>44678</v>
      </c>
      <c r="Q10" s="44">
        <v>9.98</v>
      </c>
      <c r="R10" s="56" t="s">
        <v>49</v>
      </c>
      <c r="S10" s="44">
        <f>900/Q10</f>
        <v>90.180360721442881</v>
      </c>
      <c r="T10" s="47">
        <v>1180</v>
      </c>
    </row>
    <row r="11" spans="1:21" ht="18" customHeight="1" x14ac:dyDescent="0.3">
      <c r="A11" s="36">
        <v>2</v>
      </c>
      <c r="B11" s="13">
        <v>44678</v>
      </c>
      <c r="C11" s="44">
        <v>7.18</v>
      </c>
      <c r="D11" s="56" t="s">
        <v>49</v>
      </c>
      <c r="E11" s="44">
        <f t="shared" ref="E11:E21" si="0">3600/C11</f>
        <v>501.39275766016715</v>
      </c>
      <c r="F11" s="47">
        <v>340</v>
      </c>
      <c r="H11" s="36">
        <v>14</v>
      </c>
      <c r="I11" s="13">
        <v>44678</v>
      </c>
      <c r="J11" s="44">
        <v>6.08</v>
      </c>
      <c r="K11" s="56" t="s">
        <v>49</v>
      </c>
      <c r="L11" s="44">
        <f t="shared" ref="L11:L21" si="1">1800/J11</f>
        <v>296.05263157894734</v>
      </c>
      <c r="M11" s="47">
        <v>1100</v>
      </c>
      <c r="O11" s="36">
        <v>26</v>
      </c>
      <c r="P11" s="13">
        <v>44678</v>
      </c>
      <c r="Q11" s="44">
        <v>8.92</v>
      </c>
      <c r="R11" s="56" t="s">
        <v>49</v>
      </c>
      <c r="S11" s="44">
        <f t="shared" ref="S11:S12" si="2">900/Q11</f>
        <v>100.89686098654708</v>
      </c>
      <c r="T11" s="47">
        <v>2230</v>
      </c>
    </row>
    <row r="12" spans="1:21" ht="18" customHeight="1" x14ac:dyDescent="0.3">
      <c r="A12" s="36">
        <v>3</v>
      </c>
      <c r="B12" s="13">
        <v>44678</v>
      </c>
      <c r="C12" s="44">
        <v>6.82</v>
      </c>
      <c r="D12" s="56" t="s">
        <v>49</v>
      </c>
      <c r="E12" s="44">
        <f t="shared" si="0"/>
        <v>527.85923753665691</v>
      </c>
      <c r="F12" s="47">
        <v>540</v>
      </c>
      <c r="H12" s="36">
        <v>15</v>
      </c>
      <c r="I12" s="13">
        <v>44678</v>
      </c>
      <c r="J12" s="44">
        <v>6.66</v>
      </c>
      <c r="K12" s="56" t="s">
        <v>49</v>
      </c>
      <c r="L12" s="44">
        <f t="shared" si="1"/>
        <v>270.27027027027026</v>
      </c>
      <c r="M12" s="47">
        <v>1230</v>
      </c>
      <c r="O12" s="36">
        <v>27</v>
      </c>
      <c r="P12" s="13">
        <v>44678</v>
      </c>
      <c r="Q12" s="44">
        <v>10.44</v>
      </c>
      <c r="R12" s="56" t="s">
        <v>49</v>
      </c>
      <c r="S12" s="44">
        <f t="shared" si="2"/>
        <v>86.206896551724142</v>
      </c>
      <c r="T12" s="47">
        <v>1220</v>
      </c>
    </row>
    <row r="13" spans="1:21" ht="18" customHeight="1" x14ac:dyDescent="0.3">
      <c r="A13" s="36">
        <v>4</v>
      </c>
      <c r="B13" s="13">
        <v>44678</v>
      </c>
      <c r="C13" s="44">
        <v>5.76</v>
      </c>
      <c r="D13" s="56" t="s">
        <v>49</v>
      </c>
      <c r="E13" s="44">
        <f t="shared" si="0"/>
        <v>625</v>
      </c>
      <c r="F13" s="47">
        <v>360</v>
      </c>
      <c r="H13" s="36">
        <v>16</v>
      </c>
      <c r="I13" s="13">
        <v>44678</v>
      </c>
      <c r="J13" s="44">
        <v>5.98</v>
      </c>
      <c r="K13" s="56" t="s">
        <v>49</v>
      </c>
      <c r="L13" s="44">
        <f t="shared" si="1"/>
        <v>301.00334448160532</v>
      </c>
      <c r="M13" s="47">
        <v>1240</v>
      </c>
      <c r="O13" s="36">
        <v>28</v>
      </c>
      <c r="P13" s="13">
        <v>44678</v>
      </c>
      <c r="Q13" s="166" t="e">
        <f>3600/#REF!</f>
        <v>#REF!</v>
      </c>
      <c r="R13" s="167"/>
      <c r="S13" s="167"/>
      <c r="T13" s="168"/>
    </row>
    <row r="14" spans="1:21" ht="18" customHeight="1" x14ac:dyDescent="0.3">
      <c r="A14" s="36">
        <v>5</v>
      </c>
      <c r="B14" s="13">
        <v>44678</v>
      </c>
      <c r="C14" s="44">
        <v>9.16</v>
      </c>
      <c r="D14" s="56" t="s">
        <v>49</v>
      </c>
      <c r="E14" s="44">
        <f t="shared" si="0"/>
        <v>393.01310043668121</v>
      </c>
      <c r="F14" s="47">
        <v>520</v>
      </c>
      <c r="H14" s="36">
        <v>17</v>
      </c>
      <c r="I14" s="13">
        <v>44678</v>
      </c>
      <c r="J14" s="44">
        <v>6.02</v>
      </c>
      <c r="K14" s="56" t="s">
        <v>49</v>
      </c>
      <c r="L14" s="44">
        <f t="shared" si="1"/>
        <v>299.00332225913621</v>
      </c>
      <c r="M14" s="47">
        <v>920</v>
      </c>
      <c r="O14" s="36">
        <v>29</v>
      </c>
      <c r="P14" s="13">
        <v>44678</v>
      </c>
      <c r="Q14" s="44">
        <v>13.51</v>
      </c>
      <c r="R14" s="56" t="s">
        <v>49</v>
      </c>
      <c r="S14" s="44">
        <f>900/Q14</f>
        <v>66.617320503330873</v>
      </c>
      <c r="T14" s="53">
        <v>580</v>
      </c>
      <c r="U14" s="52"/>
    </row>
    <row r="15" spans="1:21" ht="18" customHeight="1" x14ac:dyDescent="0.3">
      <c r="A15" s="36">
        <v>6</v>
      </c>
      <c r="B15" s="13">
        <v>44678</v>
      </c>
      <c r="C15" s="44">
        <v>6.78</v>
      </c>
      <c r="D15" s="56" t="s">
        <v>49</v>
      </c>
      <c r="E15" s="44">
        <f t="shared" si="0"/>
        <v>530.97345132743362</v>
      </c>
      <c r="F15" s="47">
        <v>420</v>
      </c>
      <c r="H15" s="36">
        <v>18</v>
      </c>
      <c r="I15" s="13">
        <v>44678</v>
      </c>
      <c r="J15" s="44">
        <v>5.18</v>
      </c>
      <c r="K15" s="56" t="s">
        <v>49</v>
      </c>
      <c r="L15" s="44">
        <f t="shared" si="1"/>
        <v>347.49034749034752</v>
      </c>
      <c r="M15" s="47">
        <v>1100</v>
      </c>
      <c r="O15" s="36">
        <v>30</v>
      </c>
      <c r="P15" s="13">
        <v>44678</v>
      </c>
      <c r="Q15" s="44">
        <v>6.84</v>
      </c>
      <c r="R15" s="56" t="s">
        <v>49</v>
      </c>
      <c r="S15" s="44">
        <f t="shared" ref="S15:S18" si="3">900/Q15</f>
        <v>131.57894736842107</v>
      </c>
      <c r="T15" s="47">
        <v>3050</v>
      </c>
    </row>
    <row r="16" spans="1:21" ht="18" customHeight="1" x14ac:dyDescent="0.3">
      <c r="A16" s="36">
        <v>7</v>
      </c>
      <c r="B16" s="13">
        <v>44678</v>
      </c>
      <c r="C16" s="44">
        <v>5.17</v>
      </c>
      <c r="D16" s="56" t="s">
        <v>49</v>
      </c>
      <c r="E16" s="44">
        <f t="shared" si="0"/>
        <v>696.32495164410057</v>
      </c>
      <c r="F16" s="47">
        <v>330</v>
      </c>
      <c r="H16" s="36">
        <v>19</v>
      </c>
      <c r="I16" s="13">
        <v>44678</v>
      </c>
      <c r="J16" s="44">
        <v>5.39</v>
      </c>
      <c r="K16" s="56" t="s">
        <v>49</v>
      </c>
      <c r="L16" s="44">
        <f t="shared" si="1"/>
        <v>333.95176252319112</v>
      </c>
      <c r="M16" s="47">
        <v>1080</v>
      </c>
      <c r="O16" s="36">
        <v>31</v>
      </c>
      <c r="P16" s="13">
        <v>44678</v>
      </c>
      <c r="Q16" s="44">
        <v>8.7799999999999994</v>
      </c>
      <c r="R16" s="56" t="s">
        <v>49</v>
      </c>
      <c r="S16" s="44">
        <f t="shared" si="3"/>
        <v>102.50569476082005</v>
      </c>
      <c r="T16" s="47">
        <v>1000</v>
      </c>
    </row>
    <row r="17" spans="1:20" ht="18" customHeight="1" x14ac:dyDescent="0.3">
      <c r="A17" s="36">
        <v>8</v>
      </c>
      <c r="B17" s="13">
        <v>44678</v>
      </c>
      <c r="C17" s="44">
        <v>4.88</v>
      </c>
      <c r="D17" s="56" t="s">
        <v>49</v>
      </c>
      <c r="E17" s="44">
        <f t="shared" si="0"/>
        <v>737.70491803278685</v>
      </c>
      <c r="F17" s="47">
        <v>460</v>
      </c>
      <c r="H17" s="36">
        <v>20</v>
      </c>
      <c r="I17" s="13">
        <v>44678</v>
      </c>
      <c r="J17" s="44">
        <v>4.96</v>
      </c>
      <c r="K17" s="56" t="s">
        <v>49</v>
      </c>
      <c r="L17" s="44">
        <f t="shared" si="1"/>
        <v>362.90322580645159</v>
      </c>
      <c r="M17" s="47">
        <v>1150</v>
      </c>
      <c r="O17" s="36">
        <v>32</v>
      </c>
      <c r="P17" s="13">
        <v>44678</v>
      </c>
      <c r="Q17" s="44">
        <v>67.7</v>
      </c>
      <c r="R17" s="56" t="s">
        <v>49</v>
      </c>
      <c r="S17" s="44">
        <f t="shared" si="3"/>
        <v>13.29394387001477</v>
      </c>
      <c r="T17" s="47">
        <v>2680</v>
      </c>
    </row>
    <row r="18" spans="1:20" ht="18" customHeight="1" x14ac:dyDescent="0.3">
      <c r="A18" s="36">
        <v>9</v>
      </c>
      <c r="B18" s="13">
        <v>44678</v>
      </c>
      <c r="C18" s="44">
        <v>5.25</v>
      </c>
      <c r="D18" s="56" t="s">
        <v>49</v>
      </c>
      <c r="E18" s="44">
        <f t="shared" si="0"/>
        <v>685.71428571428567</v>
      </c>
      <c r="F18" s="47">
        <v>450</v>
      </c>
      <c r="H18" s="36">
        <v>21</v>
      </c>
      <c r="I18" s="13">
        <v>44678</v>
      </c>
      <c r="J18" s="44">
        <v>5.61</v>
      </c>
      <c r="K18" s="56" t="s">
        <v>49</v>
      </c>
      <c r="L18" s="44">
        <f t="shared" si="1"/>
        <v>320.85561497326199</v>
      </c>
      <c r="M18" s="47">
        <v>1310</v>
      </c>
      <c r="O18" s="36">
        <v>33</v>
      </c>
      <c r="P18" s="13">
        <v>44678</v>
      </c>
      <c r="Q18" s="44">
        <v>10.1</v>
      </c>
      <c r="R18" s="56" t="s">
        <v>49</v>
      </c>
      <c r="S18" s="44">
        <f t="shared" si="3"/>
        <v>89.10891089108911</v>
      </c>
      <c r="T18" s="47">
        <v>1680</v>
      </c>
    </row>
    <row r="19" spans="1:20" ht="18" customHeight="1" x14ac:dyDescent="0.3">
      <c r="A19" s="36">
        <v>10</v>
      </c>
      <c r="B19" s="13">
        <v>44678</v>
      </c>
      <c r="C19" s="44">
        <v>8.18</v>
      </c>
      <c r="D19" s="56" t="s">
        <v>49</v>
      </c>
      <c r="E19" s="44">
        <f t="shared" si="0"/>
        <v>440.09779951100245</v>
      </c>
      <c r="F19" s="47">
        <v>580</v>
      </c>
      <c r="H19" s="36">
        <v>22</v>
      </c>
      <c r="I19" s="13">
        <v>44678</v>
      </c>
      <c r="J19" s="44">
        <v>5.98</v>
      </c>
      <c r="K19" s="56" t="s">
        <v>49</v>
      </c>
      <c r="L19" s="44">
        <f t="shared" si="1"/>
        <v>301.00334448160532</v>
      </c>
      <c r="M19" s="47">
        <v>1450</v>
      </c>
      <c r="O19" s="36">
        <v>34</v>
      </c>
      <c r="P19" s="13">
        <v>44678</v>
      </c>
      <c r="Q19" s="157" t="e">
        <f>3600/#REF!</f>
        <v>#REF!</v>
      </c>
      <c r="R19" s="158"/>
      <c r="S19" s="158"/>
      <c r="T19" s="159"/>
    </row>
    <row r="20" spans="1:20" ht="18" customHeight="1" x14ac:dyDescent="0.3">
      <c r="A20" s="36">
        <v>11</v>
      </c>
      <c r="B20" s="13">
        <v>44678</v>
      </c>
      <c r="C20" s="44">
        <v>4.8</v>
      </c>
      <c r="D20" s="56" t="s">
        <v>49</v>
      </c>
      <c r="E20" s="44">
        <f t="shared" si="0"/>
        <v>750</v>
      </c>
      <c r="F20" s="47">
        <v>520</v>
      </c>
      <c r="H20" s="36">
        <v>23</v>
      </c>
      <c r="I20" s="13">
        <v>44678</v>
      </c>
      <c r="J20" s="44">
        <v>5.99</v>
      </c>
      <c r="K20" s="56" t="s">
        <v>49</v>
      </c>
      <c r="L20" s="44">
        <f t="shared" si="1"/>
        <v>300.50083472454088</v>
      </c>
      <c r="M20" s="47">
        <v>1030</v>
      </c>
      <c r="O20" s="36">
        <v>35</v>
      </c>
      <c r="P20" s="13">
        <v>44678</v>
      </c>
      <c r="Q20" s="44">
        <v>9.8800000000000008</v>
      </c>
      <c r="R20" s="56" t="s">
        <v>49</v>
      </c>
      <c r="S20" s="44">
        <f>900/Q20</f>
        <v>91.093117408906878</v>
      </c>
      <c r="T20" s="47">
        <v>2380</v>
      </c>
    </row>
    <row r="21" spans="1:20" ht="18" customHeight="1" x14ac:dyDescent="0.3">
      <c r="A21" s="36">
        <v>12</v>
      </c>
      <c r="B21" s="13">
        <v>44678</v>
      </c>
      <c r="C21" s="44">
        <v>6.16</v>
      </c>
      <c r="D21" s="56" t="s">
        <v>49</v>
      </c>
      <c r="E21" s="44">
        <f t="shared" si="0"/>
        <v>584.41558441558436</v>
      </c>
      <c r="F21" s="47">
        <v>440</v>
      </c>
      <c r="H21" s="36">
        <v>24</v>
      </c>
      <c r="I21" s="13">
        <v>44678</v>
      </c>
      <c r="J21" s="44">
        <v>5.3</v>
      </c>
      <c r="K21" s="56" t="s">
        <v>49</v>
      </c>
      <c r="L21" s="44">
        <f t="shared" si="1"/>
        <v>339.62264150943395</v>
      </c>
      <c r="M21" s="47">
        <v>1040</v>
      </c>
      <c r="O21" s="36">
        <v>36</v>
      </c>
      <c r="P21" s="13">
        <v>44678</v>
      </c>
      <c r="Q21" s="160" t="e">
        <f>3600/#REF!</f>
        <v>#REF!</v>
      </c>
      <c r="R21" s="161"/>
      <c r="S21" s="161"/>
      <c r="T21" s="162"/>
    </row>
    <row r="22" spans="1:20" ht="18" customHeight="1" x14ac:dyDescent="0.3">
      <c r="A22" s="36"/>
      <c r="B22" s="13"/>
      <c r="C22" s="44"/>
      <c r="D22" s="14"/>
      <c r="E22" s="44"/>
      <c r="F22" s="47"/>
      <c r="H22" s="36"/>
      <c r="I22" s="13"/>
      <c r="J22" s="44"/>
      <c r="K22" s="14"/>
      <c r="L22" s="44"/>
      <c r="M22" s="47"/>
      <c r="O22" s="36">
        <v>37</v>
      </c>
      <c r="P22" s="13">
        <v>44678</v>
      </c>
      <c r="Q22" s="163" t="e">
        <f>3600/#REF!</f>
        <v>#REF!</v>
      </c>
      <c r="R22" s="164"/>
      <c r="S22" s="164"/>
      <c r="T22" s="165"/>
    </row>
    <row r="23" spans="1:20" ht="18" customHeight="1" x14ac:dyDescent="0.3">
      <c r="A23" s="36"/>
      <c r="B23" s="13"/>
      <c r="C23" s="44"/>
      <c r="D23" s="14"/>
      <c r="E23" s="44"/>
      <c r="F23" s="47"/>
      <c r="H23" s="36"/>
      <c r="I23" s="13"/>
      <c r="J23" s="44"/>
      <c r="K23" s="14"/>
      <c r="L23" s="44"/>
      <c r="M23" s="47"/>
      <c r="O23" s="36">
        <v>38</v>
      </c>
      <c r="P23" s="13">
        <v>44678</v>
      </c>
      <c r="Q23" s="44">
        <v>9.31</v>
      </c>
      <c r="R23" s="56" t="s">
        <v>49</v>
      </c>
      <c r="S23" s="44">
        <f>900/Q23</f>
        <v>96.670247046186887</v>
      </c>
      <c r="T23" s="47">
        <v>1080</v>
      </c>
    </row>
    <row r="24" spans="1:20" ht="18" customHeight="1" x14ac:dyDescent="0.3">
      <c r="A24" s="36"/>
      <c r="B24" s="13"/>
      <c r="C24" s="44"/>
      <c r="D24" s="14"/>
      <c r="E24" s="44"/>
      <c r="F24" s="47"/>
      <c r="H24" s="36"/>
      <c r="I24" s="13"/>
      <c r="J24" s="44"/>
      <c r="K24" s="14"/>
      <c r="L24" s="44"/>
      <c r="M24" s="47"/>
      <c r="O24" s="36">
        <v>39</v>
      </c>
      <c r="P24" s="13">
        <v>44678</v>
      </c>
      <c r="Q24" s="44">
        <v>10.18</v>
      </c>
      <c r="R24" s="56" t="s">
        <v>49</v>
      </c>
      <c r="S24" s="44">
        <f t="shared" ref="S24:S33" si="4">900/Q24</f>
        <v>88.40864440078586</v>
      </c>
      <c r="T24" s="47">
        <v>1210</v>
      </c>
    </row>
    <row r="25" spans="1:20" ht="18" customHeight="1" x14ac:dyDescent="0.3">
      <c r="A25" s="36"/>
      <c r="B25" s="13"/>
      <c r="C25" s="44"/>
      <c r="D25" s="14"/>
      <c r="E25" s="44"/>
      <c r="F25" s="47"/>
      <c r="H25" s="36"/>
      <c r="I25" s="13"/>
      <c r="J25" s="44"/>
      <c r="K25" s="14"/>
      <c r="L25" s="44"/>
      <c r="M25" s="47"/>
      <c r="O25" s="36">
        <v>40</v>
      </c>
      <c r="P25" s="13">
        <v>44678</v>
      </c>
      <c r="Q25" s="44">
        <v>7.48</v>
      </c>
      <c r="R25" s="56" t="s">
        <v>49</v>
      </c>
      <c r="S25" s="44">
        <f t="shared" si="4"/>
        <v>120.32085561497325</v>
      </c>
      <c r="T25" s="47">
        <v>1780</v>
      </c>
    </row>
    <row r="26" spans="1:20" ht="18" customHeight="1" x14ac:dyDescent="0.3">
      <c r="A26" s="36"/>
      <c r="B26" s="13"/>
      <c r="C26" s="44"/>
      <c r="D26" s="14"/>
      <c r="E26" s="44"/>
      <c r="F26" s="47"/>
      <c r="H26" s="36"/>
      <c r="I26" s="13"/>
      <c r="J26" s="44"/>
      <c r="K26" s="14"/>
      <c r="L26" s="44"/>
      <c r="M26" s="47"/>
      <c r="O26" s="36">
        <v>41</v>
      </c>
      <c r="P26" s="13">
        <v>44678</v>
      </c>
      <c r="Q26" s="44">
        <v>10.01</v>
      </c>
      <c r="R26" s="56" t="s">
        <v>49</v>
      </c>
      <c r="S26" s="44">
        <f t="shared" si="4"/>
        <v>89.910089910089908</v>
      </c>
      <c r="T26" s="47">
        <v>1260</v>
      </c>
    </row>
    <row r="27" spans="1:20" ht="18" customHeight="1" x14ac:dyDescent="0.3">
      <c r="A27" s="36"/>
      <c r="B27" s="13"/>
      <c r="C27" s="44"/>
      <c r="D27" s="14"/>
      <c r="E27" s="44"/>
      <c r="F27" s="47"/>
      <c r="H27" s="36"/>
      <c r="I27" s="13"/>
      <c r="J27" s="44"/>
      <c r="K27" s="14"/>
      <c r="L27" s="44"/>
      <c r="M27" s="47"/>
      <c r="O27" s="36">
        <v>42</v>
      </c>
      <c r="P27" s="13">
        <v>44678</v>
      </c>
      <c r="Q27" s="44">
        <v>7.75</v>
      </c>
      <c r="R27" s="56" t="s">
        <v>49</v>
      </c>
      <c r="S27" s="44">
        <f t="shared" si="4"/>
        <v>116.12903225806451</v>
      </c>
      <c r="T27" s="47">
        <v>2000</v>
      </c>
    </row>
    <row r="28" spans="1:20" ht="18" customHeight="1" x14ac:dyDescent="0.3">
      <c r="A28" s="36"/>
      <c r="B28" s="13"/>
      <c r="C28" s="44"/>
      <c r="D28" s="14"/>
      <c r="E28" s="44"/>
      <c r="F28" s="47"/>
      <c r="H28" s="36"/>
      <c r="I28" s="13"/>
      <c r="J28" s="44"/>
      <c r="K28" s="14"/>
      <c r="L28" s="44"/>
      <c r="M28" s="47"/>
      <c r="O28" s="36">
        <v>43</v>
      </c>
      <c r="P28" s="13">
        <v>44678</v>
      </c>
      <c r="Q28" s="44">
        <v>8.24</v>
      </c>
      <c r="R28" s="56" t="s">
        <v>49</v>
      </c>
      <c r="S28" s="44">
        <f t="shared" si="4"/>
        <v>109.22330097087378</v>
      </c>
      <c r="T28" s="47">
        <v>1150</v>
      </c>
    </row>
    <row r="29" spans="1:20" ht="18" customHeight="1" x14ac:dyDescent="0.3">
      <c r="A29" s="36"/>
      <c r="B29" s="13"/>
      <c r="C29" s="44"/>
      <c r="D29" s="14"/>
      <c r="E29" s="44"/>
      <c r="F29" s="47"/>
      <c r="H29" s="36"/>
      <c r="I29" s="13"/>
      <c r="J29" s="44"/>
      <c r="K29" s="14"/>
      <c r="L29" s="44"/>
      <c r="M29" s="47"/>
      <c r="O29" s="36">
        <v>44</v>
      </c>
      <c r="P29" s="13">
        <v>44678</v>
      </c>
      <c r="Q29" s="44">
        <v>9.01</v>
      </c>
      <c r="R29" s="56" t="s">
        <v>49</v>
      </c>
      <c r="S29" s="44">
        <f t="shared" si="4"/>
        <v>99.88901220865705</v>
      </c>
      <c r="T29" s="47">
        <v>2250</v>
      </c>
    </row>
    <row r="30" spans="1:20" ht="18" customHeight="1" x14ac:dyDescent="0.3">
      <c r="A30" s="36"/>
      <c r="B30" s="13"/>
      <c r="C30" s="44"/>
      <c r="D30" s="14"/>
      <c r="E30" s="44"/>
      <c r="F30" s="47"/>
      <c r="H30" s="36"/>
      <c r="I30" s="13"/>
      <c r="J30" s="44"/>
      <c r="K30" s="14"/>
      <c r="L30" s="44"/>
      <c r="M30" s="47"/>
      <c r="O30" s="36">
        <v>45</v>
      </c>
      <c r="P30" s="13">
        <v>44678</v>
      </c>
      <c r="Q30" s="44">
        <v>5.75</v>
      </c>
      <c r="R30" s="56" t="s">
        <v>49</v>
      </c>
      <c r="S30" s="44">
        <f t="shared" si="4"/>
        <v>156.52173913043478</v>
      </c>
      <c r="T30" s="47">
        <v>1230</v>
      </c>
    </row>
    <row r="31" spans="1:20" ht="18" customHeight="1" x14ac:dyDescent="0.3">
      <c r="A31" s="36"/>
      <c r="B31" s="13"/>
      <c r="C31" s="44"/>
      <c r="D31" s="14"/>
      <c r="E31" s="44"/>
      <c r="F31" s="47"/>
      <c r="H31" s="36"/>
      <c r="I31" s="13"/>
      <c r="J31" s="44"/>
      <c r="K31" s="14"/>
      <c r="L31" s="44"/>
      <c r="M31" s="47"/>
      <c r="O31" s="36">
        <v>46</v>
      </c>
      <c r="P31" s="13">
        <v>44678</v>
      </c>
      <c r="Q31" s="44">
        <v>12.5</v>
      </c>
      <c r="R31" s="56" t="s">
        <v>49</v>
      </c>
      <c r="S31" s="44">
        <f t="shared" si="4"/>
        <v>72</v>
      </c>
      <c r="T31" s="47">
        <v>1340</v>
      </c>
    </row>
    <row r="32" spans="1:20" ht="18" customHeight="1" thickBot="1" x14ac:dyDescent="0.35">
      <c r="A32" s="153"/>
      <c r="B32" s="154"/>
      <c r="C32" s="101"/>
      <c r="D32" s="17"/>
      <c r="E32" s="44"/>
      <c r="F32" s="155"/>
      <c r="H32" s="36"/>
      <c r="I32" s="154"/>
      <c r="J32" s="101"/>
      <c r="K32" s="17"/>
      <c r="L32" s="44"/>
      <c r="M32" s="155"/>
      <c r="O32" s="36">
        <v>47</v>
      </c>
      <c r="P32" s="13">
        <v>44678</v>
      </c>
      <c r="Q32" s="46">
        <v>13.01</v>
      </c>
      <c r="R32" s="56" t="s">
        <v>49</v>
      </c>
      <c r="S32" s="44">
        <f t="shared" si="4"/>
        <v>69.177555726364332</v>
      </c>
      <c r="T32" s="48">
        <v>3730</v>
      </c>
    </row>
    <row r="33" spans="1:20" ht="18" customHeight="1" thickBot="1" x14ac:dyDescent="0.35">
      <c r="A33" s="37"/>
      <c r="B33" s="16"/>
      <c r="C33" s="101"/>
      <c r="D33" s="17"/>
      <c r="E33" s="44"/>
      <c r="F33" s="48"/>
      <c r="H33" s="36"/>
      <c r="I33" s="16"/>
      <c r="J33" s="46"/>
      <c r="K33" s="19"/>
      <c r="L33" s="44"/>
      <c r="M33" s="48"/>
      <c r="O33" s="36">
        <v>48</v>
      </c>
      <c r="P33" s="13">
        <v>44678</v>
      </c>
      <c r="Q33" s="46">
        <v>3.54</v>
      </c>
      <c r="R33" s="56" t="s">
        <v>49</v>
      </c>
      <c r="S33" s="44">
        <f t="shared" si="4"/>
        <v>254.23728813559322</v>
      </c>
      <c r="T33" s="48">
        <v>1380</v>
      </c>
    </row>
    <row r="34" spans="1:20" x14ac:dyDescent="0.3">
      <c r="A34" s="6"/>
      <c r="C34" s="139" t="s">
        <v>14</v>
      </c>
      <c r="D34" s="140"/>
      <c r="E34" s="83">
        <f>SUM(E10:E21)</f>
        <v>7013.0366268192392</v>
      </c>
      <c r="J34" s="139" t="s">
        <v>14</v>
      </c>
      <c r="K34" s="140"/>
      <c r="L34" s="83">
        <f>SUM(L10:L21)</f>
        <v>3767.256358102065</v>
      </c>
      <c r="Q34" s="139" t="s">
        <v>14</v>
      </c>
      <c r="R34" s="140"/>
      <c r="S34" s="83">
        <f>SUM(S10:S33)</f>
        <v>2043.9698184643205</v>
      </c>
      <c r="T34" s="113"/>
    </row>
    <row r="35" spans="1:20" ht="15" thickBot="1" x14ac:dyDescent="0.35">
      <c r="A35" s="6"/>
      <c r="C35" s="143" t="s">
        <v>15</v>
      </c>
      <c r="D35" s="144"/>
      <c r="E35" s="80">
        <f>IFERROR(ROUND(AVERAGE(E10:E33),0),"")</f>
        <v>584</v>
      </c>
      <c r="J35" s="143" t="s">
        <v>15</v>
      </c>
      <c r="K35" s="144"/>
      <c r="L35" s="80">
        <f>IFERROR(ROUND(AVERAGE(L10:L33),0),"")</f>
        <v>314</v>
      </c>
      <c r="Q35" s="143" t="s">
        <v>15</v>
      </c>
      <c r="R35" s="144"/>
      <c r="S35" s="80">
        <f>IFERROR(ROUND(AVERAGE(S10:S33),0),"")</f>
        <v>102</v>
      </c>
      <c r="T35" s="113"/>
    </row>
    <row r="36" spans="1:20" ht="9.75" customHeight="1" thickBot="1" x14ac:dyDescent="0.35">
      <c r="A36" s="6"/>
      <c r="T36" s="113"/>
    </row>
    <row r="37" spans="1:20" ht="15.6" x14ac:dyDescent="0.3">
      <c r="A37" s="21"/>
      <c r="C37" s="145" t="s">
        <v>16</v>
      </c>
      <c r="D37" s="146"/>
      <c r="E37" s="147"/>
      <c r="H37" s="39" t="s">
        <v>17</v>
      </c>
      <c r="I37" s="51">
        <v>2300</v>
      </c>
      <c r="J37" s="22" t="s">
        <v>18</v>
      </c>
      <c r="L37" s="84"/>
      <c r="T37" s="113"/>
    </row>
    <row r="38" spans="1:20" ht="15.6" x14ac:dyDescent="0.3">
      <c r="A38" s="24"/>
      <c r="C38" s="102" t="s">
        <v>19</v>
      </c>
      <c r="D38" s="49">
        <v>1.6</v>
      </c>
      <c r="E38" s="26" t="s">
        <v>20</v>
      </c>
      <c r="H38" s="40" t="s">
        <v>21</v>
      </c>
      <c r="I38" s="44">
        <v>1020</v>
      </c>
      <c r="J38" s="27" t="s">
        <v>18</v>
      </c>
      <c r="L38" s="85"/>
      <c r="T38" s="113"/>
    </row>
    <row r="39" spans="1:20" ht="15.6" x14ac:dyDescent="0.3">
      <c r="A39" s="6"/>
      <c r="C39" s="102" t="s">
        <v>19</v>
      </c>
      <c r="D39" s="49">
        <v>5.2</v>
      </c>
      <c r="E39" s="26" t="s">
        <v>20</v>
      </c>
      <c r="H39" s="40" t="s">
        <v>23</v>
      </c>
      <c r="I39" s="44">
        <v>6.6</v>
      </c>
      <c r="J39" s="27" t="s">
        <v>24</v>
      </c>
      <c r="T39" s="113"/>
    </row>
    <row r="40" spans="1:20" ht="15" customHeight="1" x14ac:dyDescent="0.3">
      <c r="A40" s="6"/>
      <c r="C40" s="102" t="s">
        <v>22</v>
      </c>
      <c r="D40" s="49">
        <v>4.5999999999999996</v>
      </c>
      <c r="E40" s="26" t="s">
        <v>20</v>
      </c>
      <c r="H40" s="40" t="s">
        <v>26</v>
      </c>
      <c r="I40" s="44">
        <v>32.6</v>
      </c>
      <c r="J40" s="27" t="s">
        <v>27</v>
      </c>
      <c r="T40" s="113"/>
    </row>
    <row r="41" spans="1:20" ht="15.6" x14ac:dyDescent="0.3">
      <c r="A41" s="6"/>
      <c r="C41" s="102" t="s">
        <v>25</v>
      </c>
      <c r="D41" s="49">
        <v>4.2</v>
      </c>
      <c r="E41" s="26" t="s">
        <v>20</v>
      </c>
      <c r="H41" s="40" t="s">
        <v>29</v>
      </c>
      <c r="I41" s="44">
        <v>7013</v>
      </c>
      <c r="J41" s="27" t="s">
        <v>30</v>
      </c>
      <c r="T41" s="113"/>
    </row>
    <row r="42" spans="1:20" ht="15.6" x14ac:dyDescent="0.3">
      <c r="A42" s="6"/>
      <c r="C42" s="102" t="s">
        <v>28</v>
      </c>
      <c r="D42" s="49">
        <v>9</v>
      </c>
      <c r="E42" s="26" t="s">
        <v>20</v>
      </c>
      <c r="H42" s="40" t="s">
        <v>32</v>
      </c>
      <c r="I42" s="44">
        <v>3767</v>
      </c>
      <c r="J42" s="27" t="s">
        <v>30</v>
      </c>
      <c r="L42" s="148" t="s">
        <v>33</v>
      </c>
      <c r="M42" s="148"/>
      <c r="P42" s="148" t="s">
        <v>34</v>
      </c>
      <c r="Q42" s="148"/>
      <c r="R42" s="148" t="s">
        <v>35</v>
      </c>
      <c r="S42" s="148"/>
      <c r="T42" s="149"/>
    </row>
    <row r="43" spans="1:20" ht="15.6" x14ac:dyDescent="0.3">
      <c r="A43" s="6"/>
      <c r="C43" s="102" t="s">
        <v>31</v>
      </c>
      <c r="D43" s="49">
        <v>17</v>
      </c>
      <c r="E43" s="26" t="s">
        <v>20</v>
      </c>
      <c r="H43" s="40" t="s">
        <v>48</v>
      </c>
      <c r="I43" s="44">
        <v>2043</v>
      </c>
      <c r="J43" s="27" t="s">
        <v>30</v>
      </c>
      <c r="L43" s="141" t="s">
        <v>38</v>
      </c>
      <c r="M43" s="141"/>
      <c r="P43" s="141" t="s">
        <v>39</v>
      </c>
      <c r="Q43" s="141"/>
      <c r="R43" s="141" t="s">
        <v>40</v>
      </c>
      <c r="S43" s="141"/>
      <c r="T43" s="142"/>
    </row>
    <row r="44" spans="1:20" ht="15.6" x14ac:dyDescent="0.3">
      <c r="A44" s="6"/>
      <c r="C44" s="102" t="s">
        <v>75</v>
      </c>
      <c r="D44" s="49">
        <v>10</v>
      </c>
      <c r="E44" s="26" t="s">
        <v>20</v>
      </c>
      <c r="H44" s="40" t="s">
        <v>37</v>
      </c>
      <c r="I44" s="44">
        <v>12823</v>
      </c>
      <c r="J44" s="27" t="s">
        <v>30</v>
      </c>
      <c r="L44" s="78"/>
      <c r="M44" s="78"/>
      <c r="P44" s="78"/>
      <c r="Q44" s="78"/>
      <c r="R44" s="78"/>
      <c r="S44" s="78"/>
      <c r="T44" s="79"/>
    </row>
    <row r="45" spans="1:20" ht="15.6" x14ac:dyDescent="0.3">
      <c r="A45" s="6"/>
      <c r="C45" s="102" t="s">
        <v>58</v>
      </c>
      <c r="D45" s="49">
        <v>32</v>
      </c>
      <c r="E45" s="26" t="s">
        <v>20</v>
      </c>
      <c r="H45" s="40" t="s">
        <v>42</v>
      </c>
      <c r="I45" s="44">
        <v>5110</v>
      </c>
      <c r="J45" s="27" t="s">
        <v>18</v>
      </c>
      <c r="L45" s="78"/>
      <c r="M45" s="78"/>
      <c r="P45" s="78"/>
      <c r="Q45" s="78"/>
      <c r="R45" s="78"/>
      <c r="S45" s="78"/>
      <c r="T45" s="79"/>
    </row>
    <row r="46" spans="1:20" ht="15.6" x14ac:dyDescent="0.3">
      <c r="A46" s="6"/>
      <c r="C46" s="102" t="s">
        <v>76</v>
      </c>
      <c r="D46" s="49">
        <v>28</v>
      </c>
      <c r="E46" s="26" t="s">
        <v>20</v>
      </c>
      <c r="H46" s="40" t="s">
        <v>44</v>
      </c>
      <c r="I46" s="44">
        <v>17</v>
      </c>
      <c r="J46" s="27" t="s">
        <v>45</v>
      </c>
      <c r="L46" s="78"/>
      <c r="M46" s="78"/>
      <c r="P46" s="78"/>
      <c r="Q46" s="78"/>
      <c r="R46" s="78"/>
      <c r="S46" s="78"/>
      <c r="T46" s="79"/>
    </row>
    <row r="47" spans="1:20" ht="16.2" thickBot="1" x14ac:dyDescent="0.35">
      <c r="A47" s="6"/>
      <c r="C47" s="102" t="s">
        <v>36</v>
      </c>
      <c r="D47" s="49">
        <v>5</v>
      </c>
      <c r="E47" s="26" t="s">
        <v>20</v>
      </c>
      <c r="H47" s="41" t="s">
        <v>46</v>
      </c>
      <c r="I47" s="46">
        <v>12</v>
      </c>
      <c r="J47" s="33" t="s">
        <v>45</v>
      </c>
      <c r="T47" s="113"/>
    </row>
    <row r="48" spans="1:20" ht="15.6" x14ac:dyDescent="0.3">
      <c r="A48" s="6"/>
      <c r="C48" s="102" t="s">
        <v>41</v>
      </c>
      <c r="D48" s="49">
        <v>0</v>
      </c>
      <c r="E48" s="26" t="s">
        <v>20</v>
      </c>
      <c r="H48" s="40"/>
      <c r="I48" s="44"/>
      <c r="J48" s="27"/>
      <c r="T48" s="113"/>
    </row>
    <row r="49" spans="1:20" ht="16.2" thickBot="1" x14ac:dyDescent="0.35">
      <c r="A49" s="31"/>
      <c r="B49" s="32"/>
      <c r="C49" s="110" t="s">
        <v>43</v>
      </c>
      <c r="D49" s="50">
        <v>0</v>
      </c>
      <c r="E49" s="30" t="s">
        <v>20</v>
      </c>
      <c r="F49" s="42"/>
      <c r="G49" s="32"/>
      <c r="H49" s="40"/>
      <c r="I49" s="44"/>
      <c r="J49" s="27"/>
      <c r="K49" s="32"/>
      <c r="L49" s="42"/>
      <c r="M49" s="42"/>
      <c r="N49" s="32"/>
      <c r="O49" s="42"/>
      <c r="P49" s="32"/>
      <c r="Q49" s="32"/>
      <c r="R49" s="32"/>
      <c r="S49" s="42"/>
      <c r="T49" s="114"/>
    </row>
    <row r="50" spans="1:20" ht="15" thickBot="1" x14ac:dyDescent="0.35">
      <c r="C50" s="42"/>
      <c r="D50" s="32"/>
      <c r="E50" s="42"/>
      <c r="H50" s="41"/>
      <c r="I50" s="46"/>
      <c r="J50" s="33"/>
    </row>
  </sheetData>
  <mergeCells count="25">
    <mergeCell ref="L43:M43"/>
    <mergeCell ref="P43:Q43"/>
    <mergeCell ref="R43:T43"/>
    <mergeCell ref="C35:D35"/>
    <mergeCell ref="J35:K35"/>
    <mergeCell ref="Q35:R35"/>
    <mergeCell ref="C37:E37"/>
    <mergeCell ref="L42:M42"/>
    <mergeCell ref="P42:Q42"/>
    <mergeCell ref="R42:T42"/>
    <mergeCell ref="A8:F8"/>
    <mergeCell ref="H8:M8"/>
    <mergeCell ref="O8:T8"/>
    <mergeCell ref="C34:D34"/>
    <mergeCell ref="J34:K34"/>
    <mergeCell ref="Q34:R34"/>
    <mergeCell ref="Q13:T13"/>
    <mergeCell ref="Q21:T21"/>
    <mergeCell ref="Q22:T22"/>
    <mergeCell ref="A6:T6"/>
    <mergeCell ref="A1:L3"/>
    <mergeCell ref="M2:T2"/>
    <mergeCell ref="M3:T3"/>
    <mergeCell ref="A4:T4"/>
    <mergeCell ref="A5:T5"/>
  </mergeCells>
  <dataValidations count="9">
    <dataValidation type="list" allowBlank="1" showErrorMessage="1" errorTitle="Stage" error="Pick the stage from the list." sqref="A8 H8 O8" xr:uid="{C13C7FA7-6AF3-4A9F-BAFB-14BD2F985558}">
      <formula1>"I STAGE,II STAGE,III STAGE,IV STAGE"</formula1>
    </dataValidation>
    <dataValidation type="list" showErrorMessage="1" errorTitle="Zone" error="Pick a zone from the list." sqref="C5" xr:uid="{E30B6E37-FEA3-4350-A76F-8A03A3EEB6A8}">
      <formula1>"Ahmedabad,Vadodara,Ankleshwar,Panoli,Jhagadia,Dahej,Vapi"</formula1>
    </dataValidation>
    <dataValidation type="list" allowBlank="1" sqref="K10:K33 D10:D33 R20 R10:R12 R14:R18 R23:R33" xr:uid="{D0EC7718-0433-406F-9C6C-E9AC54E12960}">
      <formula1>"Non Colour,Colour"</formula1>
    </dataValidation>
    <dataValidation type="whole" operator="greaterThanOrEqual" allowBlank="1" showErrorMessage="1" errorTitle="Module no." error="Module number must be a whole number &gt;= 1." sqref="A10:A33 H10:H33 O10:O33" xr:uid="{0BF01789-A871-42B9-9AB4-75799C25F08D}">
      <formula1>1</formula1>
    </dataValidation>
    <dataValidation type="date" operator="greaterThan" allowBlank="1" showErrorMessage="1" errorTitle="Date" error="Enter a real date." sqref="I10:I33 I3 B10:B33 P10:P33" xr:uid="{39140E58-B2CA-43AB-907C-E6A051720856}">
      <formula1>DATE(2000,1,1)</formula1>
    </dataValidation>
    <dataValidation type="decimal" operator="greaterThanOrEqual" allowBlank="1" showErrorMessage="1" errorTitle="Flow" error="Flow must be a number &gt;= 0." sqref="C10:C33 J10:J33 E10:E33 Q10:Q33 L10:L33 S10:S12 S20 S14:S18 S23:S33" xr:uid="{27997C3E-DD05-4240-ABE1-87D7C6EF6A4B}">
      <formula1>0</formula1>
    </dataValidation>
    <dataValidation type="decimal" allowBlank="1" showErrorMessage="1" errorTitle="Conductivity" error="Conductivity must be 0..50000 us/cm." sqref="F10:F33 M10:M33 T10:T12 T14:T18 T20 T23:T33" xr:uid="{B3CB7494-35B6-4AF2-AD66-957EDAEB1D3D}">
      <formula1>0</formula1>
      <formula2>50000</formula2>
    </dataValidation>
    <dataValidation type="decimal" operator="greaterThanOrEqual" allowBlank="1" showErrorMessage="1" errorTitle="Value" error="Value must be a number &gt;= 0." sqref="D38:D49 I37:I50" xr:uid="{E0858619-5361-4CC2-AFD4-185EBC67BA6F}">
      <formula1>0</formula1>
    </dataValidation>
    <dataValidation type="whole" operator="greaterThanOrEqual" showErrorMessage="1" errorTitle="Plant SR No" error="Plant SR No must be a whole number &gt;= 1." sqref="C4" xr:uid="{3B125988-E3D5-4769-B2E4-EC8D14FC2281}">
      <formula1>1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BEE1-734B-4112-B3FC-7FE0DA354420}">
  <dimension ref="A1:U46"/>
  <sheetViews>
    <sheetView workbookViewId="0">
      <selection activeCell="L37" sqref="L37:P38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7" customWidth="1"/>
    <col min="4" max="4" width="10.109375" style="7" bestFit="1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0.109375" style="7" bestFit="1" customWidth="1"/>
    <col min="12" max="12" width="8.6640625" style="7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3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47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13"/>
      <c r="C10" s="14"/>
      <c r="D10" s="14"/>
      <c r="E10" s="14" t="e">
        <f>3600/C10</f>
        <v>#DIV/0!</v>
      </c>
      <c r="F10" s="15"/>
      <c r="H10" s="36">
        <v>24</v>
      </c>
      <c r="I10" s="13"/>
      <c r="J10" s="14"/>
      <c r="K10" s="14"/>
      <c r="L10" s="14" t="e">
        <f>3600/J10</f>
        <v>#DIV/0!</v>
      </c>
      <c r="M10" s="15"/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x14ac:dyDescent="0.3">
      <c r="A11" s="36">
        <v>2</v>
      </c>
      <c r="B11" s="13"/>
      <c r="C11" s="14"/>
      <c r="D11" s="14"/>
      <c r="E11" s="14" t="e">
        <f t="shared" ref="E11:E32" si="0">3600/C11</f>
        <v>#DIV/0!</v>
      </c>
      <c r="F11" s="15"/>
      <c r="H11" s="36">
        <v>25</v>
      </c>
      <c r="I11" s="13"/>
      <c r="J11" s="14"/>
      <c r="K11" s="14"/>
      <c r="L11" s="14" t="e">
        <f t="shared" ref="L11:L32" si="1">3600/J11</f>
        <v>#DIV/0!</v>
      </c>
      <c r="M11" s="15"/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x14ac:dyDescent="0.3">
      <c r="A12" s="36">
        <v>3</v>
      </c>
      <c r="B12" s="13"/>
      <c r="C12" s="14"/>
      <c r="D12" s="14"/>
      <c r="E12" s="14" t="e">
        <f t="shared" si="0"/>
        <v>#DIV/0!</v>
      </c>
      <c r="F12" s="15"/>
      <c r="H12" s="36">
        <v>26</v>
      </c>
      <c r="I12" s="13"/>
      <c r="J12" s="14"/>
      <c r="K12" s="14"/>
      <c r="L12" s="14" t="e">
        <f t="shared" si="1"/>
        <v>#DIV/0!</v>
      </c>
      <c r="M12" s="15"/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x14ac:dyDescent="0.3">
      <c r="A13" s="36">
        <v>4</v>
      </c>
      <c r="B13" s="13"/>
      <c r="C13" s="14"/>
      <c r="D13" s="14"/>
      <c r="E13" s="14" t="e">
        <f t="shared" si="0"/>
        <v>#DIV/0!</v>
      </c>
      <c r="F13" s="15"/>
      <c r="H13" s="36">
        <v>27</v>
      </c>
      <c r="I13" s="13"/>
      <c r="J13" s="14"/>
      <c r="K13" s="14"/>
      <c r="L13" s="14" t="e">
        <f t="shared" si="1"/>
        <v>#DIV/0!</v>
      </c>
      <c r="M13" s="15"/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x14ac:dyDescent="0.3">
      <c r="A14" s="36">
        <v>5</v>
      </c>
      <c r="B14" s="13"/>
      <c r="C14" s="14"/>
      <c r="D14" s="14"/>
      <c r="E14" s="14" t="e">
        <f t="shared" si="0"/>
        <v>#DIV/0!</v>
      </c>
      <c r="F14" s="15"/>
      <c r="H14" s="36">
        <v>28</v>
      </c>
      <c r="I14" s="13"/>
      <c r="J14" s="14"/>
      <c r="K14" s="14"/>
      <c r="L14" s="14" t="e">
        <f t="shared" si="1"/>
        <v>#DIV/0!</v>
      </c>
      <c r="M14" s="15"/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x14ac:dyDescent="0.3">
      <c r="A15" s="36">
        <v>6</v>
      </c>
      <c r="B15" s="13"/>
      <c r="C15" s="14"/>
      <c r="D15" s="14"/>
      <c r="E15" s="14" t="e">
        <f t="shared" si="0"/>
        <v>#DIV/0!</v>
      </c>
      <c r="F15" s="15"/>
      <c r="H15" s="36">
        <v>29</v>
      </c>
      <c r="I15" s="13"/>
      <c r="J15" s="14"/>
      <c r="K15" s="14"/>
      <c r="L15" s="14" t="e">
        <f t="shared" si="1"/>
        <v>#DIV/0!</v>
      </c>
      <c r="M15" s="15"/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x14ac:dyDescent="0.3">
      <c r="A16" s="36">
        <v>7</v>
      </c>
      <c r="B16" s="13"/>
      <c r="C16" s="14"/>
      <c r="D16" s="14"/>
      <c r="E16" s="14" t="e">
        <f t="shared" si="0"/>
        <v>#DIV/0!</v>
      </c>
      <c r="F16" s="15"/>
      <c r="H16" s="36">
        <v>30</v>
      </c>
      <c r="I16" s="13"/>
      <c r="J16" s="14"/>
      <c r="K16" s="14"/>
      <c r="L16" s="14" t="e">
        <f t="shared" si="1"/>
        <v>#DIV/0!</v>
      </c>
      <c r="M16" s="15"/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x14ac:dyDescent="0.3">
      <c r="A17" s="36">
        <v>8</v>
      </c>
      <c r="B17" s="13"/>
      <c r="C17" s="14"/>
      <c r="D17" s="14"/>
      <c r="E17" s="14" t="e">
        <f t="shared" si="0"/>
        <v>#DIV/0!</v>
      </c>
      <c r="F17" s="15"/>
      <c r="H17" s="36">
        <v>31</v>
      </c>
      <c r="I17" s="13"/>
      <c r="J17" s="14"/>
      <c r="K17" s="14"/>
      <c r="L17" s="14" t="e">
        <f t="shared" si="1"/>
        <v>#DIV/0!</v>
      </c>
      <c r="M17" s="15"/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x14ac:dyDescent="0.3">
      <c r="A18" s="36">
        <v>9</v>
      </c>
      <c r="B18" s="13"/>
      <c r="C18" s="14"/>
      <c r="D18" s="14"/>
      <c r="E18" s="14" t="e">
        <f t="shared" si="0"/>
        <v>#DIV/0!</v>
      </c>
      <c r="F18" s="15"/>
      <c r="H18" s="36">
        <v>32</v>
      </c>
      <c r="I18" s="13"/>
      <c r="J18" s="14"/>
      <c r="K18" s="14"/>
      <c r="L18" s="14" t="e">
        <f t="shared" si="1"/>
        <v>#DIV/0!</v>
      </c>
      <c r="M18" s="15"/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x14ac:dyDescent="0.3">
      <c r="A19" s="36">
        <v>10</v>
      </c>
      <c r="B19" s="13"/>
      <c r="C19" s="14"/>
      <c r="D19" s="14"/>
      <c r="E19" s="14" t="e">
        <f t="shared" si="0"/>
        <v>#DIV/0!</v>
      </c>
      <c r="F19" s="15"/>
      <c r="H19" s="36">
        <v>33</v>
      </c>
      <c r="I19" s="13"/>
      <c r="J19" s="14"/>
      <c r="K19" s="14"/>
      <c r="L19" s="14" t="e">
        <f t="shared" si="1"/>
        <v>#DIV/0!</v>
      </c>
      <c r="M19" s="15"/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3">
      <c r="A20" s="36">
        <v>11</v>
      </c>
      <c r="B20" s="13"/>
      <c r="C20" s="14"/>
      <c r="D20" s="14"/>
      <c r="E20" s="14" t="e">
        <f t="shared" si="0"/>
        <v>#DIV/0!</v>
      </c>
      <c r="F20" s="15"/>
      <c r="H20" s="36">
        <v>34</v>
      </c>
      <c r="I20" s="13"/>
      <c r="J20" s="14"/>
      <c r="K20" s="14"/>
      <c r="L20" s="14" t="e">
        <f t="shared" si="1"/>
        <v>#DIV/0!</v>
      </c>
      <c r="M20" s="15"/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3">
      <c r="A21" s="36">
        <v>12</v>
      </c>
      <c r="B21" s="13"/>
      <c r="C21" s="14"/>
      <c r="D21" s="14"/>
      <c r="E21" s="14" t="e">
        <f t="shared" si="0"/>
        <v>#DIV/0!</v>
      </c>
      <c r="F21" s="15"/>
      <c r="H21" s="36">
        <v>35</v>
      </c>
      <c r="I21" s="13"/>
      <c r="J21" s="14"/>
      <c r="K21" s="14"/>
      <c r="L21" s="14" t="e">
        <f t="shared" si="1"/>
        <v>#DIV/0!</v>
      </c>
      <c r="M21" s="15"/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>
        <v>13</v>
      </c>
      <c r="B22" s="13"/>
      <c r="C22" s="14"/>
      <c r="D22" s="14"/>
      <c r="E22" s="14" t="e">
        <f t="shared" si="0"/>
        <v>#DIV/0!</v>
      </c>
      <c r="F22" s="15"/>
      <c r="H22" s="36">
        <v>36</v>
      </c>
      <c r="I22" s="13"/>
      <c r="J22" s="14"/>
      <c r="K22" s="14"/>
      <c r="L22" s="14" t="e">
        <f t="shared" si="1"/>
        <v>#DIV/0!</v>
      </c>
      <c r="M22" s="15"/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>
        <v>14</v>
      </c>
      <c r="B23" s="13"/>
      <c r="C23" s="14"/>
      <c r="D23" s="14"/>
      <c r="E23" s="14" t="e">
        <f t="shared" si="0"/>
        <v>#DIV/0!</v>
      </c>
      <c r="F23" s="15"/>
      <c r="H23" s="36">
        <v>37</v>
      </c>
      <c r="I23" s="13"/>
      <c r="J23" s="14"/>
      <c r="K23" s="14"/>
      <c r="L23" s="14" t="e">
        <f t="shared" si="1"/>
        <v>#DIV/0!</v>
      </c>
      <c r="M23" s="15"/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>
        <v>15</v>
      </c>
      <c r="B24" s="13"/>
      <c r="C24" s="14"/>
      <c r="D24" s="14"/>
      <c r="E24" s="14" t="e">
        <f t="shared" si="0"/>
        <v>#DIV/0!</v>
      </c>
      <c r="F24" s="15"/>
      <c r="H24" s="36">
        <v>38</v>
      </c>
      <c r="I24" s="13"/>
      <c r="J24" s="14"/>
      <c r="K24" s="14"/>
      <c r="L24" s="14" t="e">
        <f t="shared" si="1"/>
        <v>#DIV/0!</v>
      </c>
      <c r="M24" s="15"/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>
        <v>16</v>
      </c>
      <c r="B25" s="13"/>
      <c r="C25" s="14"/>
      <c r="D25" s="14"/>
      <c r="E25" s="14" t="e">
        <f t="shared" si="0"/>
        <v>#DIV/0!</v>
      </c>
      <c r="F25" s="15"/>
      <c r="H25" s="36">
        <v>39</v>
      </c>
      <c r="I25" s="13"/>
      <c r="J25" s="14"/>
      <c r="K25" s="14"/>
      <c r="L25" s="14" t="e">
        <f t="shared" si="1"/>
        <v>#DIV/0!</v>
      </c>
      <c r="M25" s="15"/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>
        <v>17</v>
      </c>
      <c r="B26" s="13"/>
      <c r="C26" s="14"/>
      <c r="D26" s="14"/>
      <c r="E26" s="14" t="e">
        <f t="shared" si="0"/>
        <v>#DIV/0!</v>
      </c>
      <c r="F26" s="15"/>
      <c r="H26" s="36">
        <v>40</v>
      </c>
      <c r="I26" s="13"/>
      <c r="J26" s="14"/>
      <c r="K26" s="14"/>
      <c r="L26" s="14" t="e">
        <f t="shared" si="1"/>
        <v>#DIV/0!</v>
      </c>
      <c r="M26" s="15"/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>
        <v>18</v>
      </c>
      <c r="B27" s="13"/>
      <c r="C27" s="14"/>
      <c r="D27" s="14"/>
      <c r="E27" s="14" t="e">
        <f t="shared" si="0"/>
        <v>#DIV/0!</v>
      </c>
      <c r="F27" s="15"/>
      <c r="H27" s="36">
        <v>41</v>
      </c>
      <c r="I27" s="13"/>
      <c r="J27" s="14"/>
      <c r="K27" s="14"/>
      <c r="L27" s="14" t="e">
        <f t="shared" si="1"/>
        <v>#DIV/0!</v>
      </c>
      <c r="M27" s="15"/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>
        <v>19</v>
      </c>
      <c r="B28" s="13"/>
      <c r="C28" s="14"/>
      <c r="D28" s="14"/>
      <c r="E28" s="14" t="e">
        <f t="shared" si="0"/>
        <v>#DIV/0!</v>
      </c>
      <c r="F28" s="15"/>
      <c r="H28" s="36">
        <v>42</v>
      </c>
      <c r="I28" s="13"/>
      <c r="J28" s="14"/>
      <c r="K28" s="14"/>
      <c r="L28" s="14" t="e">
        <f t="shared" si="1"/>
        <v>#DIV/0!</v>
      </c>
      <c r="M28" s="15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>
        <v>20</v>
      </c>
      <c r="B29" s="13"/>
      <c r="C29" s="14"/>
      <c r="D29" s="14"/>
      <c r="E29" s="14" t="e">
        <f t="shared" si="0"/>
        <v>#DIV/0!</v>
      </c>
      <c r="F29" s="15"/>
      <c r="H29" s="36">
        <v>43</v>
      </c>
      <c r="I29" s="13"/>
      <c r="J29" s="14"/>
      <c r="K29" s="14"/>
      <c r="L29" s="14" t="e">
        <f t="shared" si="1"/>
        <v>#DIV/0!</v>
      </c>
      <c r="M29" s="15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>
        <v>21</v>
      </c>
      <c r="B30" s="13"/>
      <c r="C30" s="14"/>
      <c r="D30" s="14"/>
      <c r="E30" s="14" t="e">
        <f t="shared" si="0"/>
        <v>#DIV/0!</v>
      </c>
      <c r="F30" s="15"/>
      <c r="H30" s="36">
        <v>44</v>
      </c>
      <c r="I30" s="13"/>
      <c r="J30" s="14"/>
      <c r="K30" s="14"/>
      <c r="L30" s="14" t="e">
        <f t="shared" si="1"/>
        <v>#DIV/0!</v>
      </c>
      <c r="M30" s="15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>
        <v>22</v>
      </c>
      <c r="B31" s="13"/>
      <c r="C31" s="14"/>
      <c r="D31" s="14"/>
      <c r="E31" s="14" t="e">
        <f t="shared" si="0"/>
        <v>#DIV/0!</v>
      </c>
      <c r="F31" s="15"/>
      <c r="H31" s="36">
        <v>45</v>
      </c>
      <c r="I31" s="13"/>
      <c r="J31" s="14"/>
      <c r="K31" s="14"/>
      <c r="L31" s="14" t="e">
        <f t="shared" si="1"/>
        <v>#DIV/0!</v>
      </c>
      <c r="M31" s="15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>
        <v>23</v>
      </c>
      <c r="B32" s="16"/>
      <c r="C32" s="17"/>
      <c r="D32" s="17"/>
      <c r="E32" s="14" t="e">
        <f t="shared" si="0"/>
        <v>#DIV/0!</v>
      </c>
      <c r="F32" s="18"/>
      <c r="H32" s="36">
        <v>46</v>
      </c>
      <c r="I32" s="16"/>
      <c r="J32" s="19"/>
      <c r="K32" s="19"/>
      <c r="L32" s="14" t="e">
        <f t="shared" si="1"/>
        <v>#DIV/0!</v>
      </c>
      <c r="M32" s="1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9"/>
      <c r="J33" s="139" t="s">
        <v>14</v>
      </c>
      <c r="K33" s="140"/>
      <c r="L33" s="9"/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20" t="str">
        <f>IFERROR(ROUND(AVERAGE(E10:E32),0),"")</f>
        <v/>
      </c>
      <c r="J34" s="143" t="s">
        <v>15</v>
      </c>
      <c r="K34" s="144"/>
      <c r="L34" s="20" t="str">
        <f>IFERROR(ROUND(AVERAGE(L10:L32),0),"")</f>
        <v/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/>
      <c r="J36" s="22" t="s">
        <v>18</v>
      </c>
      <c r="L36" s="23"/>
      <c r="T36" s="8"/>
    </row>
    <row r="37" spans="1:20" ht="15.6" x14ac:dyDescent="0.3">
      <c r="A37" s="24"/>
      <c r="C37" s="25" t="s">
        <v>19</v>
      </c>
      <c r="D37" s="49"/>
      <c r="E37" s="26" t="s">
        <v>20</v>
      </c>
      <c r="H37" s="40" t="s">
        <v>21</v>
      </c>
      <c r="I37" s="44"/>
      <c r="J37" s="27" t="s">
        <v>18</v>
      </c>
      <c r="L37" s="169" t="s">
        <v>77</v>
      </c>
      <c r="M37" s="169"/>
      <c r="N37" s="169"/>
      <c r="O37" s="169"/>
      <c r="P37" s="169"/>
      <c r="T37" s="8"/>
    </row>
    <row r="38" spans="1:20" ht="15.6" x14ac:dyDescent="0.3">
      <c r="A38" s="6"/>
      <c r="C38" s="25" t="s">
        <v>19</v>
      </c>
      <c r="D38" s="49"/>
      <c r="E38" s="26" t="s">
        <v>20</v>
      </c>
      <c r="H38" s="40" t="s">
        <v>23</v>
      </c>
      <c r="I38" s="44"/>
      <c r="J38" s="27" t="s">
        <v>24</v>
      </c>
      <c r="L38" s="169"/>
      <c r="M38" s="169"/>
      <c r="N38" s="169"/>
      <c r="O38" s="169"/>
      <c r="P38" s="169"/>
      <c r="T38" s="8"/>
    </row>
    <row r="39" spans="1:20" ht="15" customHeight="1" x14ac:dyDescent="0.3">
      <c r="A39" s="6"/>
      <c r="C39" s="25" t="s">
        <v>22</v>
      </c>
      <c r="D39" s="49"/>
      <c r="E39" s="26" t="s">
        <v>20</v>
      </c>
      <c r="H39" s="40" t="s">
        <v>26</v>
      </c>
      <c r="I39" s="44"/>
      <c r="J39" s="27" t="s">
        <v>27</v>
      </c>
      <c r="T39" s="8"/>
    </row>
    <row r="40" spans="1:20" ht="15.6" x14ac:dyDescent="0.3">
      <c r="A40" s="6"/>
      <c r="C40" s="25" t="s">
        <v>25</v>
      </c>
      <c r="D40" s="49"/>
      <c r="E40" s="26" t="s">
        <v>20</v>
      </c>
      <c r="H40" s="40" t="s">
        <v>29</v>
      </c>
      <c r="I40" s="44"/>
      <c r="J40" s="27" t="s">
        <v>30</v>
      </c>
      <c r="T40" s="8"/>
    </row>
    <row r="41" spans="1:20" ht="15.6" x14ac:dyDescent="0.3">
      <c r="A41" s="6"/>
      <c r="C41" s="25" t="s">
        <v>28</v>
      </c>
      <c r="D41" s="49"/>
      <c r="E41" s="26" t="s">
        <v>20</v>
      </c>
      <c r="H41" s="40" t="s">
        <v>32</v>
      </c>
      <c r="I41" s="44"/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49"/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49"/>
      <c r="E43" s="26" t="s">
        <v>20</v>
      </c>
      <c r="H43" s="40" t="s">
        <v>37</v>
      </c>
      <c r="I43" s="44"/>
      <c r="J43" s="27" t="s">
        <v>30</v>
      </c>
      <c r="T43" s="8"/>
    </row>
    <row r="44" spans="1:20" ht="15.6" x14ac:dyDescent="0.3">
      <c r="A44" s="6"/>
      <c r="C44" s="25" t="s">
        <v>41</v>
      </c>
      <c r="D44" s="49"/>
      <c r="E44" s="26" t="s">
        <v>20</v>
      </c>
      <c r="H44" s="40" t="s">
        <v>42</v>
      </c>
      <c r="I44" s="44"/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50"/>
      <c r="E45" s="30" t="s">
        <v>20</v>
      </c>
      <c r="F45" s="32"/>
      <c r="G45" s="32"/>
      <c r="H45" s="40" t="s">
        <v>44</v>
      </c>
      <c r="I45" s="44"/>
      <c r="J45" s="27" t="s">
        <v>45</v>
      </c>
      <c r="K45" s="32"/>
      <c r="L45" s="32"/>
      <c r="M45" s="3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/>
      <c r="J46" s="33" t="s">
        <v>45</v>
      </c>
    </row>
  </sheetData>
  <mergeCells count="23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3:D33"/>
    <mergeCell ref="J33:K33"/>
    <mergeCell ref="Q33:R33"/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  <mergeCell ref="L37:P38"/>
  </mergeCells>
  <dataValidations count="9">
    <dataValidation type="whole" operator="greaterThanOrEqual" showErrorMessage="1" errorTitle="Plant SR No" error="Plant SR No must be a whole number &gt;= 1." sqref="C4" xr:uid="{BF2CE0C2-596F-466B-8808-EE1CCD563363}">
      <formula1>1</formula1>
    </dataValidation>
    <dataValidation type="decimal" operator="greaterThanOrEqual" allowBlank="1" showErrorMessage="1" errorTitle="Value" error="Value must be a number &gt;= 0." sqref="I36:I46 D37:D45" xr:uid="{B3D78923-C840-4A9B-8AF3-7F0C9F58A3DC}">
      <formula1>0</formula1>
    </dataValidation>
    <dataValidation type="decimal" allowBlank="1" showErrorMessage="1" errorTitle="Conductivity" error="Conductivity must be 0..50000 us/cm." sqref="F10:F32 M10:M32 T10:T32" xr:uid="{AFD2CF23-BC5A-497A-9A6E-302D9B56B7DE}">
      <formula1>0</formula1>
      <formula2>50000</formula2>
    </dataValidation>
    <dataValidation type="decimal" operator="greaterThanOrEqual" allowBlank="1" showErrorMessage="1" errorTitle="Flow" error="Flow must be a number &gt;= 0." sqref="C10:C32 L10:L32 J10:J32 E10:E32 Q10:Q32 S10:S32" xr:uid="{6A54C658-8A2E-4810-878C-3307D3400728}">
      <formula1>0</formula1>
    </dataValidation>
    <dataValidation type="date" operator="greaterThan" allowBlank="1" showErrorMessage="1" errorTitle="Date" error="Enter a real date." sqref="B10:B32 I3 I10:I32 P10:P32" xr:uid="{86283105-D0BE-4F44-8A4C-3E7BB2F3EDDE}">
      <formula1>DATE(2000,1,1)</formula1>
    </dataValidation>
    <dataValidation type="whole" operator="greaterThanOrEqual" allowBlank="1" showErrorMessage="1" errorTitle="Module no." error="Module number must be a whole number &gt;= 1." sqref="A10:A32 H10:H32 O10:O32" xr:uid="{3570194E-C711-428A-94A2-0FA082D8554A}">
      <formula1>1</formula1>
    </dataValidation>
    <dataValidation type="list" allowBlank="1" sqref="D10:D32 K10:K32 R10:R32" xr:uid="{1D8FB201-A010-4D28-AB05-DF97F1A8ED3B}">
      <formula1>"Non Colour,Colour"</formula1>
    </dataValidation>
    <dataValidation type="list" showErrorMessage="1" errorTitle="Zone" error="Pick a zone from the list." sqref="C5" xr:uid="{F0A7C292-9EDB-4140-B600-0407B5CDBC0C}">
      <formula1>"Ahmedabad,Vadodara,Ankleshwar,Panoli,Jhagadia,Dahej,Vapi"</formula1>
    </dataValidation>
    <dataValidation type="list" allowBlank="1" showErrorMessage="1" errorTitle="Stage" error="Pick the stage from the list." sqref="A8 H8 O8" xr:uid="{61BBB5F6-B9C0-4B54-83D3-843D4F4B4AFA}">
      <formula1>"I STAGE,II STAGE,III STAGE,IV STAGE"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F7E4-CB2D-46A3-941D-E18D0FB6F804}">
  <dimension ref="A1:U46"/>
  <sheetViews>
    <sheetView topLeftCell="A13" workbookViewId="0">
      <selection activeCell="H23" sqref="H23:H32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7" customWidth="1"/>
    <col min="4" max="4" width="10.109375" style="7" bestFit="1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0.109375" style="7" bestFit="1" customWidth="1"/>
    <col min="12" max="12" width="8.6640625" style="7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87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88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thickBot="1" x14ac:dyDescent="0.35">
      <c r="A9" s="10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thickBot="1" x14ac:dyDescent="0.35">
      <c r="A10" s="36">
        <v>1</v>
      </c>
      <c r="B10" s="192">
        <v>45474</v>
      </c>
      <c r="C10" s="14"/>
      <c r="D10" s="14"/>
      <c r="E10" s="14" t="e">
        <f>3600/C10</f>
        <v>#DIV/0!</v>
      </c>
      <c r="F10" s="15"/>
      <c r="H10" s="36">
        <v>8</v>
      </c>
      <c r="I10" s="192">
        <v>45474</v>
      </c>
      <c r="J10" s="14"/>
      <c r="K10" s="14"/>
      <c r="L10" s="14" t="e">
        <f>3600/J10</f>
        <v>#DIV/0!</v>
      </c>
      <c r="M10" s="15"/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thickBot="1" x14ac:dyDescent="0.35">
      <c r="A11" s="36">
        <v>2</v>
      </c>
      <c r="B11" s="192">
        <v>45475</v>
      </c>
      <c r="C11" s="14"/>
      <c r="D11" s="14"/>
      <c r="E11" s="14" t="e">
        <f t="shared" ref="E11:E32" si="0">3600/C11</f>
        <v>#DIV/0!</v>
      </c>
      <c r="F11" s="15"/>
      <c r="H11" s="36">
        <v>9</v>
      </c>
      <c r="I11" s="192">
        <v>45475</v>
      </c>
      <c r="J11" s="14"/>
      <c r="K11" s="14"/>
      <c r="L11" s="14" t="e">
        <f t="shared" ref="L11:L32" si="1">3600/J11</f>
        <v>#DIV/0!</v>
      </c>
      <c r="M11" s="15"/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thickBot="1" x14ac:dyDescent="0.35">
      <c r="A12" s="36">
        <v>3</v>
      </c>
      <c r="B12" s="192">
        <v>45476</v>
      </c>
      <c r="C12" s="14"/>
      <c r="D12" s="14"/>
      <c r="E12" s="14" t="e">
        <f t="shared" si="0"/>
        <v>#DIV/0!</v>
      </c>
      <c r="F12" s="15"/>
      <c r="H12" s="36">
        <v>10</v>
      </c>
      <c r="I12" s="192">
        <v>45476</v>
      </c>
      <c r="J12" s="14"/>
      <c r="K12" s="14"/>
      <c r="L12" s="14" t="e">
        <f t="shared" si="1"/>
        <v>#DIV/0!</v>
      </c>
      <c r="M12" s="15"/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thickBot="1" x14ac:dyDescent="0.35">
      <c r="A13" s="36">
        <v>4</v>
      </c>
      <c r="B13" s="192">
        <v>45477</v>
      </c>
      <c r="C13" s="14"/>
      <c r="D13" s="14"/>
      <c r="E13" s="14" t="e">
        <f t="shared" si="0"/>
        <v>#DIV/0!</v>
      </c>
      <c r="F13" s="15"/>
      <c r="H13" s="36">
        <v>11</v>
      </c>
      <c r="I13" s="192">
        <v>45477</v>
      </c>
      <c r="J13" s="14"/>
      <c r="K13" s="14"/>
      <c r="L13" s="14" t="e">
        <f t="shared" si="1"/>
        <v>#DIV/0!</v>
      </c>
      <c r="M13" s="15"/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thickBot="1" x14ac:dyDescent="0.35">
      <c r="A14" s="36">
        <v>5</v>
      </c>
      <c r="B14" s="192">
        <v>45478</v>
      </c>
      <c r="C14" s="14"/>
      <c r="D14" s="14"/>
      <c r="E14" s="14" t="e">
        <f t="shared" si="0"/>
        <v>#DIV/0!</v>
      </c>
      <c r="F14" s="15"/>
      <c r="H14" s="36">
        <v>12</v>
      </c>
      <c r="I14" s="192">
        <v>45478</v>
      </c>
      <c r="J14" s="14"/>
      <c r="K14" s="14"/>
      <c r="L14" s="14" t="e">
        <f t="shared" si="1"/>
        <v>#DIV/0!</v>
      </c>
      <c r="M14" s="15"/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thickBot="1" x14ac:dyDescent="0.35">
      <c r="A15" s="36">
        <v>6</v>
      </c>
      <c r="B15" s="192">
        <v>45479</v>
      </c>
      <c r="C15" s="14"/>
      <c r="D15" s="14"/>
      <c r="E15" s="14" t="e">
        <f t="shared" si="0"/>
        <v>#DIV/0!</v>
      </c>
      <c r="F15" s="15"/>
      <c r="H15" s="36">
        <v>13</v>
      </c>
      <c r="I15" s="192">
        <v>45479</v>
      </c>
      <c r="J15" s="14"/>
      <c r="K15" s="14"/>
      <c r="L15" s="14" t="e">
        <f t="shared" si="1"/>
        <v>#DIV/0!</v>
      </c>
      <c r="M15" s="15"/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thickBot="1" x14ac:dyDescent="0.35">
      <c r="A16" s="36">
        <v>7</v>
      </c>
      <c r="B16" s="192">
        <v>45480</v>
      </c>
      <c r="C16" s="14"/>
      <c r="D16" s="14"/>
      <c r="E16" s="14" t="e">
        <f t="shared" si="0"/>
        <v>#DIV/0!</v>
      </c>
      <c r="F16" s="15"/>
      <c r="H16" s="36">
        <v>14</v>
      </c>
      <c r="I16" s="192">
        <v>45480</v>
      </c>
      <c r="J16" s="14"/>
      <c r="K16" s="14"/>
      <c r="L16" s="14" t="e">
        <f t="shared" si="1"/>
        <v>#DIV/0!</v>
      </c>
      <c r="M16" s="15"/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thickBot="1" x14ac:dyDescent="0.35">
      <c r="A17" s="36"/>
      <c r="B17" s="13"/>
      <c r="C17" s="14"/>
      <c r="D17" s="14"/>
      <c r="E17" s="14" t="e">
        <f t="shared" si="0"/>
        <v>#DIV/0!</v>
      </c>
      <c r="F17" s="15"/>
      <c r="H17" s="36">
        <v>15</v>
      </c>
      <c r="I17" s="192">
        <v>45481</v>
      </c>
      <c r="J17" s="14"/>
      <c r="K17" s="14"/>
      <c r="L17" s="14" t="e">
        <f t="shared" si="1"/>
        <v>#DIV/0!</v>
      </c>
      <c r="M17" s="15"/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thickBot="1" x14ac:dyDescent="0.35">
      <c r="A18" s="36"/>
      <c r="B18" s="13"/>
      <c r="C18" s="14"/>
      <c r="D18" s="14"/>
      <c r="E18" s="14" t="e">
        <f t="shared" si="0"/>
        <v>#DIV/0!</v>
      </c>
      <c r="F18" s="15"/>
      <c r="H18" s="36">
        <v>16</v>
      </c>
      <c r="I18" s="192">
        <v>45482</v>
      </c>
      <c r="J18" s="14"/>
      <c r="K18" s="14"/>
      <c r="L18" s="14" t="e">
        <f t="shared" si="1"/>
        <v>#DIV/0!</v>
      </c>
      <c r="M18" s="15"/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thickBot="1" x14ac:dyDescent="0.35">
      <c r="A19" s="36"/>
      <c r="B19" s="13"/>
      <c r="C19" s="14"/>
      <c r="D19" s="14"/>
      <c r="E19" s="14" t="e">
        <f t="shared" si="0"/>
        <v>#DIV/0!</v>
      </c>
      <c r="F19" s="15"/>
      <c r="H19" s="36">
        <v>17</v>
      </c>
      <c r="I19" s="192">
        <v>45483</v>
      </c>
      <c r="J19" s="14"/>
      <c r="K19" s="14"/>
      <c r="L19" s="14" t="e">
        <f t="shared" si="1"/>
        <v>#DIV/0!</v>
      </c>
      <c r="M19" s="15"/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thickBot="1" x14ac:dyDescent="0.35">
      <c r="A20" s="36"/>
      <c r="B20" s="13"/>
      <c r="C20" s="14"/>
      <c r="D20" s="14"/>
      <c r="E20" s="14" t="e">
        <f t="shared" si="0"/>
        <v>#DIV/0!</v>
      </c>
      <c r="F20" s="15"/>
      <c r="H20" s="36">
        <v>18</v>
      </c>
      <c r="I20" s="192">
        <v>45484</v>
      </c>
      <c r="J20" s="14"/>
      <c r="K20" s="14"/>
      <c r="L20" s="14" t="e">
        <f t="shared" si="1"/>
        <v>#DIV/0!</v>
      </c>
      <c r="M20" s="15"/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thickBot="1" x14ac:dyDescent="0.35">
      <c r="A21" s="36"/>
      <c r="B21" s="13"/>
      <c r="C21" s="14"/>
      <c r="D21" s="14"/>
      <c r="E21" s="14" t="e">
        <f t="shared" si="0"/>
        <v>#DIV/0!</v>
      </c>
      <c r="F21" s="15"/>
      <c r="H21" s="36">
        <v>19</v>
      </c>
      <c r="I21" s="192">
        <v>45485</v>
      </c>
      <c r="J21" s="14"/>
      <c r="K21" s="14"/>
      <c r="L21" s="14" t="e">
        <f t="shared" si="1"/>
        <v>#DIV/0!</v>
      </c>
      <c r="M21" s="15"/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/>
      <c r="B22" s="13"/>
      <c r="C22" s="14"/>
      <c r="D22" s="14"/>
      <c r="E22" s="14" t="e">
        <f t="shared" si="0"/>
        <v>#DIV/0!</v>
      </c>
      <c r="F22" s="15"/>
      <c r="H22" s="36">
        <v>20</v>
      </c>
      <c r="I22" s="192">
        <v>45486</v>
      </c>
      <c r="J22" s="14"/>
      <c r="K22" s="14"/>
      <c r="L22" s="14" t="e">
        <f t="shared" si="1"/>
        <v>#DIV/0!</v>
      </c>
      <c r="M22" s="15"/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/>
      <c r="B23" s="13"/>
      <c r="C23" s="14"/>
      <c r="D23" s="14"/>
      <c r="E23" s="14" t="e">
        <f t="shared" si="0"/>
        <v>#DIV/0!</v>
      </c>
      <c r="F23" s="15"/>
      <c r="H23" s="36"/>
      <c r="I23" s="13"/>
      <c r="J23" s="14"/>
      <c r="K23" s="14"/>
      <c r="L23" s="14" t="e">
        <f t="shared" si="1"/>
        <v>#DIV/0!</v>
      </c>
      <c r="M23" s="15"/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/>
      <c r="B24" s="13"/>
      <c r="C24" s="14"/>
      <c r="D24" s="14"/>
      <c r="E24" s="14" t="e">
        <f t="shared" si="0"/>
        <v>#DIV/0!</v>
      </c>
      <c r="F24" s="15"/>
      <c r="H24" s="36"/>
      <c r="I24" s="13"/>
      <c r="J24" s="14"/>
      <c r="K24" s="14"/>
      <c r="L24" s="14" t="e">
        <f t="shared" si="1"/>
        <v>#DIV/0!</v>
      </c>
      <c r="M24" s="15"/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/>
      <c r="B25" s="13"/>
      <c r="C25" s="14"/>
      <c r="D25" s="14"/>
      <c r="E25" s="14" t="e">
        <f t="shared" si="0"/>
        <v>#DIV/0!</v>
      </c>
      <c r="F25" s="15"/>
      <c r="H25" s="36"/>
      <c r="I25" s="13"/>
      <c r="J25" s="14"/>
      <c r="K25" s="14"/>
      <c r="L25" s="14" t="e">
        <f t="shared" si="1"/>
        <v>#DIV/0!</v>
      </c>
      <c r="M25" s="15"/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/>
      <c r="B26" s="13"/>
      <c r="C26" s="14"/>
      <c r="D26" s="14"/>
      <c r="E26" s="14" t="e">
        <f t="shared" si="0"/>
        <v>#DIV/0!</v>
      </c>
      <c r="F26" s="15"/>
      <c r="H26" s="36"/>
      <c r="I26" s="13"/>
      <c r="J26" s="14"/>
      <c r="K26" s="14"/>
      <c r="L26" s="14" t="e">
        <f t="shared" si="1"/>
        <v>#DIV/0!</v>
      </c>
      <c r="M26" s="15"/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/>
      <c r="B27" s="13"/>
      <c r="C27" s="14"/>
      <c r="D27" s="14"/>
      <c r="E27" s="14" t="e">
        <f t="shared" si="0"/>
        <v>#DIV/0!</v>
      </c>
      <c r="F27" s="15"/>
      <c r="H27" s="36"/>
      <c r="I27" s="13"/>
      <c r="J27" s="14"/>
      <c r="K27" s="14"/>
      <c r="L27" s="14" t="e">
        <f t="shared" si="1"/>
        <v>#DIV/0!</v>
      </c>
      <c r="M27" s="15"/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/>
      <c r="B28" s="13"/>
      <c r="C28" s="14"/>
      <c r="D28" s="14"/>
      <c r="E28" s="14" t="e">
        <f t="shared" si="0"/>
        <v>#DIV/0!</v>
      </c>
      <c r="F28" s="15"/>
      <c r="H28" s="36"/>
      <c r="I28" s="13"/>
      <c r="J28" s="14"/>
      <c r="K28" s="14"/>
      <c r="L28" s="14" t="e">
        <f t="shared" si="1"/>
        <v>#DIV/0!</v>
      </c>
      <c r="M28" s="15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/>
      <c r="B29" s="13"/>
      <c r="C29" s="14"/>
      <c r="D29" s="14"/>
      <c r="E29" s="14" t="e">
        <f t="shared" si="0"/>
        <v>#DIV/0!</v>
      </c>
      <c r="F29" s="15"/>
      <c r="H29" s="36"/>
      <c r="I29" s="13"/>
      <c r="J29" s="14"/>
      <c r="K29" s="14"/>
      <c r="L29" s="14" t="e">
        <f t="shared" si="1"/>
        <v>#DIV/0!</v>
      </c>
      <c r="M29" s="15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/>
      <c r="B30" s="13"/>
      <c r="C30" s="14"/>
      <c r="D30" s="14"/>
      <c r="E30" s="14" t="e">
        <f t="shared" si="0"/>
        <v>#DIV/0!</v>
      </c>
      <c r="F30" s="15"/>
      <c r="H30" s="36"/>
      <c r="I30" s="13"/>
      <c r="J30" s="14"/>
      <c r="K30" s="14"/>
      <c r="L30" s="14" t="e">
        <f t="shared" si="1"/>
        <v>#DIV/0!</v>
      </c>
      <c r="M30" s="15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/>
      <c r="B31" s="13"/>
      <c r="C31" s="14"/>
      <c r="D31" s="14"/>
      <c r="E31" s="14" t="e">
        <f t="shared" si="0"/>
        <v>#DIV/0!</v>
      </c>
      <c r="F31" s="15"/>
      <c r="H31" s="36"/>
      <c r="I31" s="13"/>
      <c r="J31" s="14"/>
      <c r="K31" s="14"/>
      <c r="L31" s="14" t="e">
        <f t="shared" si="1"/>
        <v>#DIV/0!</v>
      </c>
      <c r="M31" s="15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/>
      <c r="B32" s="16"/>
      <c r="C32" s="17"/>
      <c r="D32" s="17"/>
      <c r="E32" s="14" t="e">
        <f t="shared" si="0"/>
        <v>#DIV/0!</v>
      </c>
      <c r="F32" s="18"/>
      <c r="H32" s="36"/>
      <c r="I32" s="16"/>
      <c r="J32" s="19"/>
      <c r="K32" s="19"/>
      <c r="L32" s="14" t="e">
        <f t="shared" si="1"/>
        <v>#DIV/0!</v>
      </c>
      <c r="M32" s="1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9"/>
      <c r="J33" s="139" t="s">
        <v>14</v>
      </c>
      <c r="K33" s="140"/>
      <c r="L33" s="9"/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20" t="str">
        <f>IFERROR(ROUND(AVERAGE(E10:E32),0),"")</f>
        <v/>
      </c>
      <c r="J34" s="143" t="s">
        <v>15</v>
      </c>
      <c r="K34" s="144"/>
      <c r="L34" s="20" t="str">
        <f>IFERROR(ROUND(AVERAGE(L10:L32),0),"")</f>
        <v/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/>
      <c r="J36" s="22" t="s">
        <v>18</v>
      </c>
      <c r="L36" s="23"/>
      <c r="T36" s="8"/>
    </row>
    <row r="37" spans="1:20" ht="15.6" x14ac:dyDescent="0.3">
      <c r="A37" s="24"/>
      <c r="C37" s="25" t="s">
        <v>19</v>
      </c>
      <c r="D37" s="49"/>
      <c r="E37" s="26" t="s">
        <v>20</v>
      </c>
      <c r="H37" s="40" t="s">
        <v>21</v>
      </c>
      <c r="I37" s="44"/>
      <c r="J37" s="27" t="s">
        <v>18</v>
      </c>
      <c r="L37" s="28"/>
      <c r="T37" s="8"/>
    </row>
    <row r="38" spans="1:20" ht="15.6" x14ac:dyDescent="0.3">
      <c r="A38" s="6"/>
      <c r="C38" s="25" t="s">
        <v>19</v>
      </c>
      <c r="D38" s="49"/>
      <c r="E38" s="26" t="s">
        <v>20</v>
      </c>
      <c r="H38" s="40" t="s">
        <v>23</v>
      </c>
      <c r="I38" s="44"/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49"/>
      <c r="E39" s="26" t="s">
        <v>20</v>
      </c>
      <c r="H39" s="40" t="s">
        <v>26</v>
      </c>
      <c r="I39" s="44"/>
      <c r="J39" s="27" t="s">
        <v>27</v>
      </c>
      <c r="T39" s="8"/>
    </row>
    <row r="40" spans="1:20" ht="15.6" x14ac:dyDescent="0.3">
      <c r="A40" s="6"/>
      <c r="C40" s="25" t="s">
        <v>25</v>
      </c>
      <c r="D40" s="49"/>
      <c r="E40" s="26" t="s">
        <v>20</v>
      </c>
      <c r="H40" s="40" t="s">
        <v>29</v>
      </c>
      <c r="I40" s="44"/>
      <c r="J40" s="27" t="s">
        <v>30</v>
      </c>
      <c r="T40" s="8"/>
    </row>
    <row r="41" spans="1:20" ht="15.6" x14ac:dyDescent="0.3">
      <c r="A41" s="6"/>
      <c r="C41" s="25" t="s">
        <v>28</v>
      </c>
      <c r="D41" s="49"/>
      <c r="E41" s="26" t="s">
        <v>20</v>
      </c>
      <c r="H41" s="40" t="s">
        <v>32</v>
      </c>
      <c r="I41" s="44"/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49"/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49"/>
      <c r="E43" s="26" t="s">
        <v>20</v>
      </c>
      <c r="H43" s="40" t="s">
        <v>37</v>
      </c>
      <c r="I43" s="44"/>
      <c r="J43" s="27" t="s">
        <v>30</v>
      </c>
      <c r="T43" s="8"/>
    </row>
    <row r="44" spans="1:20" ht="15.6" x14ac:dyDescent="0.3">
      <c r="A44" s="6"/>
      <c r="C44" s="25" t="s">
        <v>41</v>
      </c>
      <c r="D44" s="49"/>
      <c r="E44" s="26" t="s">
        <v>20</v>
      </c>
      <c r="H44" s="40" t="s">
        <v>42</v>
      </c>
      <c r="I44" s="44"/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50"/>
      <c r="E45" s="30" t="s">
        <v>20</v>
      </c>
      <c r="F45" s="32"/>
      <c r="G45" s="32"/>
      <c r="H45" s="40" t="s">
        <v>44</v>
      </c>
      <c r="I45" s="44"/>
      <c r="J45" s="27" t="s">
        <v>45</v>
      </c>
      <c r="K45" s="32"/>
      <c r="L45" s="32"/>
      <c r="M45" s="3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/>
      <c r="J46" s="33" t="s">
        <v>45</v>
      </c>
    </row>
  </sheetData>
  <mergeCells count="22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3:D33"/>
    <mergeCell ref="J33:K33"/>
    <mergeCell ref="Q33:R33"/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</mergeCells>
  <dataValidations count="9">
    <dataValidation type="whole" operator="greaterThanOrEqual" showErrorMessage="1" errorTitle="Plant SR No" error="Plant SR No must be a whole number &gt;= 1." sqref="C4" xr:uid="{0DD030A2-356E-4526-8C4C-660BB50791D5}">
      <formula1>1</formula1>
    </dataValidation>
    <dataValidation type="decimal" operator="greaterThanOrEqual" allowBlank="1" showErrorMessage="1" errorTitle="Value" error="Value must be a number &gt;= 0." sqref="I36:I46 D37:D45" xr:uid="{86BA996F-9A8E-4138-8843-22ECCEF3812D}">
      <formula1>0</formula1>
    </dataValidation>
    <dataValidation type="decimal" allowBlank="1" showErrorMessage="1" errorTitle="Conductivity" error="Conductivity must be 0..50000 us/cm." sqref="F10:F32 M10:M32 T10:T32" xr:uid="{A9741F7A-2F9B-4EF7-8AFA-BED7AD98485E}">
      <formula1>0</formula1>
      <formula2>50000</formula2>
    </dataValidation>
    <dataValidation type="decimal" operator="greaterThanOrEqual" allowBlank="1" showErrorMessage="1" errorTitle="Flow" error="Flow must be a number &gt;= 0." sqref="C10:C32 L10:L32 J10:J32 E10:E32 Q10:Q32 S10:S32" xr:uid="{91A24EF5-E290-423B-9D07-10187586FBE1}">
      <formula1>0</formula1>
    </dataValidation>
    <dataValidation type="date" operator="greaterThan" allowBlank="1" showErrorMessage="1" errorTitle="Date" error="Enter a real date." sqref="B10:B32 I3 P10:P32 I10:I32" xr:uid="{2FDA1A9A-5BC4-492A-AF12-6094404E840F}">
      <formula1>DATE(2000,1,1)</formula1>
    </dataValidation>
    <dataValidation type="whole" operator="greaterThanOrEqual" allowBlank="1" showErrorMessage="1" errorTitle="Module no." error="Module number must be a whole number &gt;= 1." sqref="A10:A32 O10:O32 H10:H32" xr:uid="{B0AAFB97-599D-4B51-B55C-317668BCD581}">
      <formula1>1</formula1>
    </dataValidation>
    <dataValidation type="list" allowBlank="1" sqref="D10:D32 K10:K32 R10:R32" xr:uid="{B64A2404-25E9-4D3E-BC0F-315D302AAE8B}">
      <formula1>"Non Colour,Colour"</formula1>
    </dataValidation>
    <dataValidation type="list" showErrorMessage="1" errorTitle="Zone" error="Pick a zone from the list." sqref="C5" xr:uid="{66E31511-52AF-4390-AB07-1FAB16E58FF2}">
      <formula1>"Ahmedabad,Vadodara,Ankleshwar,Panoli,Jhagadia,Dahej,Vapi"</formula1>
    </dataValidation>
    <dataValidation type="list" allowBlank="1" showErrorMessage="1" errorTitle="Stage" error="Pick the stage from the list." sqref="A8 H8 O8" xr:uid="{ABC8781E-7F03-40E9-A780-904F7D35CA61}">
      <formula1>"I STAGE,II STAGE,III STAGE,IV STAGE"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882E-235F-4112-9D5A-224C59C40BDF}">
  <dimension ref="A1:U46"/>
  <sheetViews>
    <sheetView workbookViewId="0">
      <selection activeCell="I10" sqref="I10:I20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7" customWidth="1"/>
    <col min="4" max="4" width="10.109375" style="7" bestFit="1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0.109375" style="7" bestFit="1" customWidth="1"/>
    <col min="12" max="12" width="8.6640625" style="7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3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47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228">
        <v>45474</v>
      </c>
      <c r="C10" s="14"/>
      <c r="D10" s="14"/>
      <c r="E10" s="14" t="e">
        <f>3600/C10</f>
        <v>#DIV/0!</v>
      </c>
      <c r="F10" s="15"/>
      <c r="H10" s="36">
        <v>4</v>
      </c>
      <c r="I10" s="228">
        <v>45474</v>
      </c>
      <c r="J10" s="14"/>
      <c r="K10" s="14"/>
      <c r="L10" s="14" t="e">
        <f>3600/J10</f>
        <v>#DIV/0!</v>
      </c>
      <c r="M10" s="15"/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x14ac:dyDescent="0.3">
      <c r="A11" s="36">
        <v>2</v>
      </c>
      <c r="B11" s="228">
        <v>45475</v>
      </c>
      <c r="C11" s="14"/>
      <c r="D11" s="14"/>
      <c r="E11" s="14" t="e">
        <f t="shared" ref="E11:E32" si="0">3600/C11</f>
        <v>#DIV/0!</v>
      </c>
      <c r="F11" s="15"/>
      <c r="H11" s="36">
        <v>5</v>
      </c>
      <c r="I11" s="228">
        <v>45475</v>
      </c>
      <c r="J11" s="14"/>
      <c r="K11" s="14"/>
      <c r="L11" s="14" t="e">
        <f t="shared" ref="L11:L32" si="1">3600/J11</f>
        <v>#DIV/0!</v>
      </c>
      <c r="M11" s="15"/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x14ac:dyDescent="0.3">
      <c r="A12" s="36">
        <v>3</v>
      </c>
      <c r="B12" s="228">
        <v>45476</v>
      </c>
      <c r="C12" s="14"/>
      <c r="D12" s="14"/>
      <c r="E12" s="14" t="e">
        <f t="shared" si="0"/>
        <v>#DIV/0!</v>
      </c>
      <c r="F12" s="15"/>
      <c r="H12" s="36">
        <v>6</v>
      </c>
      <c r="I12" s="228">
        <v>45476</v>
      </c>
      <c r="J12" s="14"/>
      <c r="K12" s="14"/>
      <c r="L12" s="14" t="e">
        <f t="shared" si="1"/>
        <v>#DIV/0!</v>
      </c>
      <c r="M12" s="15"/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x14ac:dyDescent="0.3">
      <c r="A13" s="36"/>
      <c r="B13" s="13"/>
      <c r="C13" s="14"/>
      <c r="D13" s="14"/>
      <c r="E13" s="14" t="e">
        <f t="shared" si="0"/>
        <v>#DIV/0!</v>
      </c>
      <c r="F13" s="15"/>
      <c r="H13" s="36">
        <v>7</v>
      </c>
      <c r="I13" s="228">
        <v>45477</v>
      </c>
      <c r="J13" s="14"/>
      <c r="K13" s="14"/>
      <c r="L13" s="14" t="e">
        <f t="shared" si="1"/>
        <v>#DIV/0!</v>
      </c>
      <c r="M13" s="15"/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x14ac:dyDescent="0.3">
      <c r="A14" s="36"/>
      <c r="B14" s="13"/>
      <c r="C14" s="14"/>
      <c r="D14" s="14"/>
      <c r="E14" s="14" t="e">
        <f t="shared" si="0"/>
        <v>#DIV/0!</v>
      </c>
      <c r="F14" s="15"/>
      <c r="H14" s="36">
        <v>8</v>
      </c>
      <c r="I14" s="228">
        <v>45478</v>
      </c>
      <c r="J14" s="14"/>
      <c r="K14" s="14"/>
      <c r="L14" s="14" t="e">
        <f t="shared" si="1"/>
        <v>#DIV/0!</v>
      </c>
      <c r="M14" s="15"/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x14ac:dyDescent="0.3">
      <c r="A15" s="36"/>
      <c r="B15" s="13"/>
      <c r="C15" s="14"/>
      <c r="D15" s="14"/>
      <c r="E15" s="14" t="e">
        <f t="shared" si="0"/>
        <v>#DIV/0!</v>
      </c>
      <c r="F15" s="15"/>
      <c r="H15" s="36">
        <v>9</v>
      </c>
      <c r="I15" s="228">
        <v>45479</v>
      </c>
      <c r="J15" s="14"/>
      <c r="K15" s="14"/>
      <c r="L15" s="14" t="e">
        <f t="shared" si="1"/>
        <v>#DIV/0!</v>
      </c>
      <c r="M15" s="15"/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x14ac:dyDescent="0.3">
      <c r="A16" s="36"/>
      <c r="B16" s="13"/>
      <c r="C16" s="14"/>
      <c r="D16" s="14"/>
      <c r="E16" s="14" t="e">
        <f t="shared" si="0"/>
        <v>#DIV/0!</v>
      </c>
      <c r="F16" s="15"/>
      <c r="H16" s="36">
        <v>10</v>
      </c>
      <c r="I16" s="228">
        <v>45480</v>
      </c>
      <c r="J16" s="14"/>
      <c r="K16" s="14"/>
      <c r="L16" s="14" t="e">
        <f t="shared" si="1"/>
        <v>#DIV/0!</v>
      </c>
      <c r="M16" s="15"/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x14ac:dyDescent="0.3">
      <c r="A17" s="36"/>
      <c r="B17" s="13"/>
      <c r="C17" s="14"/>
      <c r="D17" s="14"/>
      <c r="E17" s="14" t="e">
        <f t="shared" si="0"/>
        <v>#DIV/0!</v>
      </c>
      <c r="F17" s="15"/>
      <c r="H17" s="36">
        <v>11</v>
      </c>
      <c r="I17" s="228">
        <v>45481</v>
      </c>
      <c r="J17" s="14"/>
      <c r="K17" s="14"/>
      <c r="L17" s="14" t="e">
        <f t="shared" si="1"/>
        <v>#DIV/0!</v>
      </c>
      <c r="M17" s="15"/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x14ac:dyDescent="0.3">
      <c r="A18" s="36"/>
      <c r="B18" s="13"/>
      <c r="C18" s="14"/>
      <c r="D18" s="14"/>
      <c r="E18" s="14" t="e">
        <f t="shared" si="0"/>
        <v>#DIV/0!</v>
      </c>
      <c r="F18" s="15"/>
      <c r="H18" s="36">
        <v>12</v>
      </c>
      <c r="I18" s="228">
        <v>45482</v>
      </c>
      <c r="J18" s="14"/>
      <c r="K18" s="14"/>
      <c r="L18" s="14" t="e">
        <f t="shared" si="1"/>
        <v>#DIV/0!</v>
      </c>
      <c r="M18" s="15"/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x14ac:dyDescent="0.3">
      <c r="A19" s="36"/>
      <c r="B19" s="13"/>
      <c r="C19" s="14"/>
      <c r="D19" s="14"/>
      <c r="E19" s="14" t="e">
        <f t="shared" si="0"/>
        <v>#DIV/0!</v>
      </c>
      <c r="F19" s="15"/>
      <c r="H19" s="36">
        <v>13</v>
      </c>
      <c r="I19" s="228">
        <v>45483</v>
      </c>
      <c r="J19" s="14"/>
      <c r="K19" s="14"/>
      <c r="L19" s="14" t="e">
        <f t="shared" si="1"/>
        <v>#DIV/0!</v>
      </c>
      <c r="M19" s="15"/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3">
      <c r="A20" s="36"/>
      <c r="B20" s="13"/>
      <c r="C20" s="14"/>
      <c r="D20" s="14"/>
      <c r="E20" s="14" t="e">
        <f t="shared" si="0"/>
        <v>#DIV/0!</v>
      </c>
      <c r="F20" s="15"/>
      <c r="H20" s="36">
        <v>14</v>
      </c>
      <c r="I20" s="228">
        <v>45484</v>
      </c>
      <c r="J20" s="14"/>
      <c r="K20" s="14"/>
      <c r="L20" s="14" t="e">
        <f t="shared" si="1"/>
        <v>#DIV/0!</v>
      </c>
      <c r="M20" s="15"/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3">
      <c r="A21" s="36"/>
      <c r="B21" s="13"/>
      <c r="C21" s="14"/>
      <c r="D21" s="14"/>
      <c r="E21" s="14" t="e">
        <f t="shared" si="0"/>
        <v>#DIV/0!</v>
      </c>
      <c r="F21" s="15"/>
      <c r="H21" s="36"/>
      <c r="I21" s="13"/>
      <c r="J21" s="14"/>
      <c r="K21" s="14"/>
      <c r="L21" s="14" t="e">
        <f t="shared" si="1"/>
        <v>#DIV/0!</v>
      </c>
      <c r="M21" s="15"/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/>
      <c r="B22" s="13"/>
      <c r="C22" s="14"/>
      <c r="D22" s="14"/>
      <c r="E22" s="14" t="e">
        <f t="shared" si="0"/>
        <v>#DIV/0!</v>
      </c>
      <c r="F22" s="15"/>
      <c r="H22" s="36"/>
      <c r="I22" s="13"/>
      <c r="J22" s="14"/>
      <c r="K22" s="14"/>
      <c r="L22" s="14" t="e">
        <f t="shared" si="1"/>
        <v>#DIV/0!</v>
      </c>
      <c r="M22" s="15"/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/>
      <c r="B23" s="13"/>
      <c r="C23" s="14"/>
      <c r="D23" s="14"/>
      <c r="E23" s="14" t="e">
        <f t="shared" si="0"/>
        <v>#DIV/0!</v>
      </c>
      <c r="F23" s="15"/>
      <c r="H23" s="36"/>
      <c r="I23" s="13"/>
      <c r="J23" s="14"/>
      <c r="K23" s="14"/>
      <c r="L23" s="14" t="e">
        <f t="shared" si="1"/>
        <v>#DIV/0!</v>
      </c>
      <c r="M23" s="15"/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/>
      <c r="B24" s="13"/>
      <c r="C24" s="14"/>
      <c r="D24" s="14"/>
      <c r="E24" s="14" t="e">
        <f t="shared" si="0"/>
        <v>#DIV/0!</v>
      </c>
      <c r="F24" s="15"/>
      <c r="H24" s="36"/>
      <c r="I24" s="13"/>
      <c r="J24" s="14"/>
      <c r="K24" s="14"/>
      <c r="L24" s="14" t="e">
        <f t="shared" si="1"/>
        <v>#DIV/0!</v>
      </c>
      <c r="M24" s="15"/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/>
      <c r="B25" s="13"/>
      <c r="C25" s="14"/>
      <c r="D25" s="14"/>
      <c r="E25" s="14" t="e">
        <f t="shared" si="0"/>
        <v>#DIV/0!</v>
      </c>
      <c r="F25" s="15"/>
      <c r="H25" s="36"/>
      <c r="I25" s="13"/>
      <c r="J25" s="14"/>
      <c r="K25" s="14"/>
      <c r="L25" s="14" t="e">
        <f t="shared" si="1"/>
        <v>#DIV/0!</v>
      </c>
      <c r="M25" s="15"/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/>
      <c r="B26" s="13"/>
      <c r="C26" s="14"/>
      <c r="D26" s="14"/>
      <c r="E26" s="14" t="e">
        <f t="shared" si="0"/>
        <v>#DIV/0!</v>
      </c>
      <c r="F26" s="15"/>
      <c r="H26" s="36"/>
      <c r="I26" s="13"/>
      <c r="J26" s="14"/>
      <c r="K26" s="14"/>
      <c r="L26" s="14" t="e">
        <f t="shared" si="1"/>
        <v>#DIV/0!</v>
      </c>
      <c r="M26" s="15"/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/>
      <c r="B27" s="13"/>
      <c r="C27" s="14"/>
      <c r="D27" s="14"/>
      <c r="E27" s="14" t="e">
        <f t="shared" si="0"/>
        <v>#DIV/0!</v>
      </c>
      <c r="F27" s="15"/>
      <c r="H27" s="36"/>
      <c r="I27" s="13"/>
      <c r="J27" s="14"/>
      <c r="K27" s="14"/>
      <c r="L27" s="14" t="e">
        <f t="shared" si="1"/>
        <v>#DIV/0!</v>
      </c>
      <c r="M27" s="15"/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/>
      <c r="B28" s="13"/>
      <c r="C28" s="14"/>
      <c r="D28" s="14"/>
      <c r="E28" s="14" t="e">
        <f t="shared" si="0"/>
        <v>#DIV/0!</v>
      </c>
      <c r="F28" s="15"/>
      <c r="H28" s="36"/>
      <c r="I28" s="13"/>
      <c r="J28" s="14"/>
      <c r="K28" s="14"/>
      <c r="L28" s="14" t="e">
        <f t="shared" si="1"/>
        <v>#DIV/0!</v>
      </c>
      <c r="M28" s="15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/>
      <c r="B29" s="13"/>
      <c r="C29" s="14"/>
      <c r="D29" s="14"/>
      <c r="E29" s="14" t="e">
        <f t="shared" si="0"/>
        <v>#DIV/0!</v>
      </c>
      <c r="F29" s="15"/>
      <c r="H29" s="36"/>
      <c r="I29" s="13"/>
      <c r="J29" s="14"/>
      <c r="K29" s="14"/>
      <c r="L29" s="14" t="e">
        <f t="shared" si="1"/>
        <v>#DIV/0!</v>
      </c>
      <c r="M29" s="15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/>
      <c r="B30" s="13"/>
      <c r="C30" s="14"/>
      <c r="D30" s="14"/>
      <c r="E30" s="14" t="e">
        <f t="shared" si="0"/>
        <v>#DIV/0!</v>
      </c>
      <c r="F30" s="15"/>
      <c r="H30" s="36"/>
      <c r="I30" s="13"/>
      <c r="J30" s="14"/>
      <c r="K30" s="14"/>
      <c r="L30" s="14" t="e">
        <f t="shared" si="1"/>
        <v>#DIV/0!</v>
      </c>
      <c r="M30" s="15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/>
      <c r="B31" s="13"/>
      <c r="C31" s="14"/>
      <c r="D31" s="14"/>
      <c r="E31" s="14" t="e">
        <f t="shared" si="0"/>
        <v>#DIV/0!</v>
      </c>
      <c r="F31" s="15"/>
      <c r="H31" s="36"/>
      <c r="I31" s="13"/>
      <c r="J31" s="14"/>
      <c r="K31" s="14"/>
      <c r="L31" s="14" t="e">
        <f t="shared" si="1"/>
        <v>#DIV/0!</v>
      </c>
      <c r="M31" s="15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/>
      <c r="B32" s="16"/>
      <c r="C32" s="17"/>
      <c r="D32" s="17"/>
      <c r="E32" s="14" t="e">
        <f t="shared" si="0"/>
        <v>#DIV/0!</v>
      </c>
      <c r="F32" s="18"/>
      <c r="H32" s="36"/>
      <c r="I32" s="16"/>
      <c r="J32" s="19"/>
      <c r="K32" s="19"/>
      <c r="L32" s="14" t="e">
        <f t="shared" si="1"/>
        <v>#DIV/0!</v>
      </c>
      <c r="M32" s="1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9"/>
      <c r="J33" s="139" t="s">
        <v>14</v>
      </c>
      <c r="K33" s="140"/>
      <c r="L33" s="9"/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20" t="str">
        <f>IFERROR(ROUND(AVERAGE(E10:E32),0),"")</f>
        <v/>
      </c>
      <c r="J34" s="143" t="s">
        <v>15</v>
      </c>
      <c r="K34" s="144"/>
      <c r="L34" s="20" t="str">
        <f>IFERROR(ROUND(AVERAGE(L10:L32),0),"")</f>
        <v/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/>
      <c r="J36" s="22" t="s">
        <v>18</v>
      </c>
      <c r="L36" s="23"/>
      <c r="T36" s="8"/>
    </row>
    <row r="37" spans="1:20" ht="15.6" x14ac:dyDescent="0.3">
      <c r="A37" s="24"/>
      <c r="C37" s="25" t="s">
        <v>19</v>
      </c>
      <c r="D37" s="49"/>
      <c r="E37" s="26" t="s">
        <v>20</v>
      </c>
      <c r="H37" s="40" t="s">
        <v>21</v>
      </c>
      <c r="I37" s="44"/>
      <c r="J37" s="27" t="s">
        <v>18</v>
      </c>
      <c r="L37" s="28"/>
      <c r="T37" s="8"/>
    </row>
    <row r="38" spans="1:20" ht="15.6" x14ac:dyDescent="0.3">
      <c r="A38" s="6"/>
      <c r="C38" s="25" t="s">
        <v>19</v>
      </c>
      <c r="D38" s="49"/>
      <c r="E38" s="26" t="s">
        <v>20</v>
      </c>
      <c r="H38" s="40" t="s">
        <v>23</v>
      </c>
      <c r="I38" s="44"/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49"/>
      <c r="E39" s="26" t="s">
        <v>20</v>
      </c>
      <c r="H39" s="40" t="s">
        <v>26</v>
      </c>
      <c r="I39" s="44"/>
      <c r="J39" s="27" t="s">
        <v>27</v>
      </c>
      <c r="T39" s="8"/>
    </row>
    <row r="40" spans="1:20" ht="15.6" x14ac:dyDescent="0.3">
      <c r="A40" s="6"/>
      <c r="C40" s="25" t="s">
        <v>25</v>
      </c>
      <c r="D40" s="49"/>
      <c r="E40" s="26" t="s">
        <v>20</v>
      </c>
      <c r="H40" s="40" t="s">
        <v>29</v>
      </c>
      <c r="I40" s="44"/>
      <c r="J40" s="27" t="s">
        <v>30</v>
      </c>
      <c r="T40" s="8"/>
    </row>
    <row r="41" spans="1:20" ht="15.6" x14ac:dyDescent="0.3">
      <c r="A41" s="6"/>
      <c r="C41" s="25" t="s">
        <v>28</v>
      </c>
      <c r="D41" s="49"/>
      <c r="E41" s="26" t="s">
        <v>20</v>
      </c>
      <c r="H41" s="40" t="s">
        <v>32</v>
      </c>
      <c r="I41" s="44"/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49"/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49"/>
      <c r="E43" s="26" t="s">
        <v>20</v>
      </c>
      <c r="H43" s="40" t="s">
        <v>37</v>
      </c>
      <c r="I43" s="44"/>
      <c r="J43" s="27" t="s">
        <v>30</v>
      </c>
      <c r="T43" s="8"/>
    </row>
    <row r="44" spans="1:20" ht="15.6" x14ac:dyDescent="0.3">
      <c r="A44" s="6"/>
      <c r="C44" s="25" t="s">
        <v>41</v>
      </c>
      <c r="D44" s="49"/>
      <c r="E44" s="26" t="s">
        <v>20</v>
      </c>
      <c r="H44" s="40" t="s">
        <v>42</v>
      </c>
      <c r="I44" s="44"/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50"/>
      <c r="E45" s="30" t="s">
        <v>20</v>
      </c>
      <c r="F45" s="32"/>
      <c r="G45" s="32"/>
      <c r="H45" s="40" t="s">
        <v>44</v>
      </c>
      <c r="I45" s="44"/>
      <c r="J45" s="27" t="s">
        <v>45</v>
      </c>
      <c r="K45" s="32"/>
      <c r="L45" s="32"/>
      <c r="M45" s="3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/>
      <c r="J46" s="33" t="s">
        <v>45</v>
      </c>
    </row>
  </sheetData>
  <mergeCells count="22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3:D33"/>
    <mergeCell ref="J33:K33"/>
    <mergeCell ref="Q33:R33"/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</mergeCells>
  <dataValidations count="9">
    <dataValidation type="whole" operator="greaterThanOrEqual" showErrorMessage="1" errorTitle="Plant SR No" error="Plant SR No must be a whole number &gt;= 1." sqref="C4" xr:uid="{E458476E-8D61-451A-A582-F16D02D9C3E2}">
      <formula1>1</formula1>
    </dataValidation>
    <dataValidation type="decimal" operator="greaterThanOrEqual" allowBlank="1" showErrorMessage="1" errorTitle="Value" error="Value must be a number &gt;= 0." sqref="I36:I46 D37:D45" xr:uid="{119C19E5-9FD8-4086-871F-3965B73BDA7F}">
      <formula1>0</formula1>
    </dataValidation>
    <dataValidation type="decimal" allowBlank="1" showErrorMessage="1" errorTitle="Conductivity" error="Conductivity must be 0..50000 us/cm." sqref="F10:F32 M10:M32 T10:T32" xr:uid="{1809852F-00A3-46EE-B2BC-77234D3EBC96}">
      <formula1>0</formula1>
      <formula2>50000</formula2>
    </dataValidation>
    <dataValidation type="decimal" operator="greaterThanOrEqual" allowBlank="1" showErrorMessage="1" errorTitle="Flow" error="Flow must be a number &gt;= 0." sqref="C10:C32 L10:L32 J10:J32 E10:E32 Q10:Q32 S10:S32" xr:uid="{46FF50FB-134C-4AD3-9A66-E84A19A8A26B}">
      <formula1>0</formula1>
    </dataValidation>
    <dataValidation type="date" operator="greaterThan" allowBlank="1" showErrorMessage="1" errorTitle="Date" error="Enter a real date." sqref="B10:B32 I3 P10:P32 I10:I32" xr:uid="{D0D60646-5784-4793-9E9A-55696DFAB63F}">
      <formula1>DATE(2000,1,1)</formula1>
    </dataValidation>
    <dataValidation type="whole" operator="greaterThanOrEqual" allowBlank="1" showErrorMessage="1" errorTitle="Module no." error="Module number must be a whole number &gt;= 1." sqref="A10:A32 O10:O32 H10:H32" xr:uid="{7544AEB8-63E2-481F-A415-B9D662CEC5EB}">
      <formula1>1</formula1>
    </dataValidation>
    <dataValidation type="list" allowBlank="1" sqref="D10:D32 K10:K32 R10:R32" xr:uid="{3413E1F5-6967-41FF-BF95-C648877114ED}">
      <formula1>"Non Colour,Colour"</formula1>
    </dataValidation>
    <dataValidation type="list" showErrorMessage="1" errorTitle="Zone" error="Pick a zone from the list." sqref="C5" xr:uid="{F1A03C9C-ADAF-4A2E-B00E-4484DE4EE680}">
      <formula1>"Ahmedabad,Vadodara,Ankleshwar,Panoli,Jhagadia,Dahej,Vapi"</formula1>
    </dataValidation>
    <dataValidation type="list" allowBlank="1" showErrorMessage="1" errorTitle="Stage" error="Pick the stage from the list." sqref="A8 H8 O8" xr:uid="{0C95DA56-9722-4A60-B903-B92CB6459948}">
      <formula1>"I STAGE,II STAGE,III STAGE,IV STAGE"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DA75-B440-4CBA-9BC0-2FE6D0E2EA8C}">
  <dimension ref="A1:U49"/>
  <sheetViews>
    <sheetView workbookViewId="0">
      <selection activeCell="A5" sqref="A5:T5"/>
    </sheetView>
  </sheetViews>
  <sheetFormatPr defaultColWidth="9.109375" defaultRowHeight="14.4" x14ac:dyDescent="0.3"/>
  <cols>
    <col min="1" max="1" width="8.6640625" style="7" customWidth="1"/>
    <col min="2" max="2" width="11.44140625" style="7" customWidth="1"/>
    <col min="3" max="3" width="13" style="7" customWidth="1"/>
    <col min="4" max="4" width="11.21875" style="7" customWidth="1"/>
    <col min="5" max="5" width="8.6640625" style="38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0.109375" style="7" bestFit="1" customWidth="1"/>
    <col min="12" max="12" width="8.6640625" style="38" customWidth="1"/>
    <col min="13" max="13" width="10.6640625" style="38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79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80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170">
        <v>45146</v>
      </c>
      <c r="C10" s="178">
        <v>6.92</v>
      </c>
      <c r="D10" s="14" t="s">
        <v>78</v>
      </c>
      <c r="E10" s="44">
        <f>1800/C10</f>
        <v>260.11560693641621</v>
      </c>
      <c r="F10" s="175">
        <v>890</v>
      </c>
      <c r="H10" s="36">
        <v>13</v>
      </c>
      <c r="I10" s="170">
        <v>45215</v>
      </c>
      <c r="J10" s="178">
        <v>12</v>
      </c>
      <c r="K10" s="14" t="s">
        <v>78</v>
      </c>
      <c r="L10" s="44">
        <f>1800/J10</f>
        <v>150</v>
      </c>
      <c r="M10" s="172">
        <v>2210</v>
      </c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x14ac:dyDescent="0.3">
      <c r="A11" s="36">
        <v>2</v>
      </c>
      <c r="B11" s="170">
        <v>45086</v>
      </c>
      <c r="C11" s="178">
        <v>6.2</v>
      </c>
      <c r="D11" s="14" t="s">
        <v>78</v>
      </c>
      <c r="E11" s="44">
        <f t="shared" ref="E11:E21" si="0">1800/C11</f>
        <v>290.32258064516128</v>
      </c>
      <c r="F11" s="175">
        <v>950</v>
      </c>
      <c r="H11" s="36">
        <v>14</v>
      </c>
      <c r="I11" s="13"/>
      <c r="J11" s="150" t="e">
        <f>1800/#REF!</f>
        <v>#REF!</v>
      </c>
      <c r="K11" s="151"/>
      <c r="L11" s="151"/>
      <c r="M11" s="152"/>
      <c r="O11" s="36">
        <v>48</v>
      </c>
      <c r="P11" s="43"/>
      <c r="Q11" s="44"/>
      <c r="R11" s="44"/>
      <c r="S11" s="14" t="e">
        <f t="shared" ref="S11:S35" si="1">3600/Q11</f>
        <v>#DIV/0!</v>
      </c>
      <c r="T11" s="47"/>
    </row>
    <row r="12" spans="1:21" ht="18" customHeight="1" x14ac:dyDescent="0.3">
      <c r="A12" s="36">
        <v>3</v>
      </c>
      <c r="B12" s="170">
        <v>45196</v>
      </c>
      <c r="C12" s="178">
        <v>5.8</v>
      </c>
      <c r="D12" s="14" t="s">
        <v>78</v>
      </c>
      <c r="E12" s="44">
        <f t="shared" si="0"/>
        <v>310.34482758620692</v>
      </c>
      <c r="F12" s="175">
        <v>1001</v>
      </c>
      <c r="H12" s="36">
        <v>15</v>
      </c>
      <c r="I12" s="170">
        <v>44874</v>
      </c>
      <c r="J12" s="178">
        <v>13.63</v>
      </c>
      <c r="K12" s="14" t="s">
        <v>78</v>
      </c>
      <c r="L12" s="44">
        <f t="shared" ref="L11:L35" si="2">1800/J12</f>
        <v>132.06162876008804</v>
      </c>
      <c r="M12" s="172">
        <v>2350</v>
      </c>
      <c r="O12" s="36">
        <v>49</v>
      </c>
      <c r="P12" s="43"/>
      <c r="Q12" s="44"/>
      <c r="R12" s="44"/>
      <c r="S12" s="14" t="e">
        <f t="shared" si="1"/>
        <v>#DIV/0!</v>
      </c>
      <c r="T12" s="47"/>
    </row>
    <row r="13" spans="1:21" ht="18" customHeight="1" x14ac:dyDescent="0.3">
      <c r="A13" s="36">
        <v>4</v>
      </c>
      <c r="B13" s="170">
        <v>45145</v>
      </c>
      <c r="C13" s="178">
        <v>7.2</v>
      </c>
      <c r="D13" s="14" t="s">
        <v>78</v>
      </c>
      <c r="E13" s="44">
        <f t="shared" si="0"/>
        <v>250</v>
      </c>
      <c r="F13" s="175">
        <v>990</v>
      </c>
      <c r="H13" s="36">
        <v>16</v>
      </c>
      <c r="I13" s="170">
        <v>45086</v>
      </c>
      <c r="J13" s="178">
        <v>11.25</v>
      </c>
      <c r="K13" s="14" t="s">
        <v>78</v>
      </c>
      <c r="L13" s="44">
        <f t="shared" si="2"/>
        <v>160</v>
      </c>
      <c r="M13" s="172">
        <v>1320</v>
      </c>
      <c r="O13" s="36">
        <v>50</v>
      </c>
      <c r="P13" s="43"/>
      <c r="Q13" s="44"/>
      <c r="R13" s="44"/>
      <c r="S13" s="14" t="e">
        <f t="shared" si="1"/>
        <v>#DIV/0!</v>
      </c>
      <c r="T13" s="47"/>
    </row>
    <row r="14" spans="1:21" ht="18" customHeight="1" x14ac:dyDescent="0.3">
      <c r="A14" s="36">
        <v>5</v>
      </c>
      <c r="B14" s="170">
        <v>45220</v>
      </c>
      <c r="C14" s="178">
        <v>7.56</v>
      </c>
      <c r="D14" s="14" t="s">
        <v>78</v>
      </c>
      <c r="E14" s="44">
        <f t="shared" si="0"/>
        <v>238.0952380952381</v>
      </c>
      <c r="F14" s="175">
        <v>880</v>
      </c>
      <c r="H14" s="36">
        <v>17</v>
      </c>
      <c r="I14" s="170">
        <v>45146</v>
      </c>
      <c r="J14" s="178">
        <v>11.53</v>
      </c>
      <c r="K14" s="14" t="s">
        <v>78</v>
      </c>
      <c r="L14" s="44">
        <f t="shared" si="2"/>
        <v>156.11448395490027</v>
      </c>
      <c r="M14" s="172">
        <v>1140</v>
      </c>
      <c r="O14" s="36">
        <v>51</v>
      </c>
      <c r="P14" s="43"/>
      <c r="Q14" s="44"/>
      <c r="R14" s="44"/>
      <c r="S14" s="14" t="e">
        <f t="shared" si="1"/>
        <v>#DIV/0!</v>
      </c>
      <c r="T14" s="53"/>
      <c r="U14" s="52"/>
    </row>
    <row r="15" spans="1:21" ht="18" customHeight="1" x14ac:dyDescent="0.3">
      <c r="A15" s="36">
        <v>6</v>
      </c>
      <c r="B15" s="170">
        <v>45145</v>
      </c>
      <c r="C15" s="178">
        <v>6.2</v>
      </c>
      <c r="D15" s="14" t="s">
        <v>78</v>
      </c>
      <c r="E15" s="44">
        <f t="shared" si="0"/>
        <v>290.32258064516128</v>
      </c>
      <c r="F15" s="175">
        <v>770</v>
      </c>
      <c r="H15" s="36">
        <v>18</v>
      </c>
      <c r="I15" s="170">
        <v>44788</v>
      </c>
      <c r="J15" s="178">
        <v>12.5</v>
      </c>
      <c r="K15" s="14" t="s">
        <v>78</v>
      </c>
      <c r="L15" s="44">
        <f t="shared" si="2"/>
        <v>144</v>
      </c>
      <c r="M15" s="172">
        <v>2580</v>
      </c>
      <c r="O15" s="36">
        <v>52</v>
      </c>
      <c r="P15" s="43"/>
      <c r="Q15" s="44"/>
      <c r="R15" s="44"/>
      <c r="S15" s="14" t="e">
        <f t="shared" si="1"/>
        <v>#DIV/0!</v>
      </c>
      <c r="T15" s="47"/>
    </row>
    <row r="16" spans="1:21" ht="18" customHeight="1" x14ac:dyDescent="0.3">
      <c r="A16" s="36">
        <v>7</v>
      </c>
      <c r="B16" s="170">
        <v>44874</v>
      </c>
      <c r="C16" s="178">
        <v>7.5</v>
      </c>
      <c r="D16" s="14" t="s">
        <v>78</v>
      </c>
      <c r="E16" s="44">
        <f t="shared" si="0"/>
        <v>240</v>
      </c>
      <c r="F16" s="175">
        <v>1020</v>
      </c>
      <c r="H16" s="36">
        <v>19</v>
      </c>
      <c r="I16" s="170">
        <v>44980</v>
      </c>
      <c r="J16" s="178">
        <v>10</v>
      </c>
      <c r="K16" s="14" t="s">
        <v>78</v>
      </c>
      <c r="L16" s="44">
        <f t="shared" si="2"/>
        <v>180</v>
      </c>
      <c r="M16" s="172">
        <v>1180</v>
      </c>
      <c r="O16" s="36">
        <v>53</v>
      </c>
      <c r="P16" s="43"/>
      <c r="Q16" s="44"/>
      <c r="R16" s="44"/>
      <c r="S16" s="14" t="e">
        <f t="shared" si="1"/>
        <v>#DIV/0!</v>
      </c>
      <c r="T16" s="47"/>
    </row>
    <row r="17" spans="1:20" ht="18" customHeight="1" x14ac:dyDescent="0.3">
      <c r="A17" s="36">
        <v>8</v>
      </c>
      <c r="B17" s="170">
        <v>45000</v>
      </c>
      <c r="C17" s="178">
        <v>7.34</v>
      </c>
      <c r="D17" s="14" t="s">
        <v>78</v>
      </c>
      <c r="E17" s="44">
        <f t="shared" si="0"/>
        <v>245.2316076294278</v>
      </c>
      <c r="F17" s="175">
        <v>1101</v>
      </c>
      <c r="H17" s="36">
        <v>20</v>
      </c>
      <c r="I17" s="170">
        <v>44980</v>
      </c>
      <c r="J17" s="178">
        <v>16.36</v>
      </c>
      <c r="K17" s="14" t="s">
        <v>78</v>
      </c>
      <c r="L17" s="44">
        <f t="shared" si="2"/>
        <v>110.02444987775061</v>
      </c>
      <c r="M17" s="172">
        <v>2729</v>
      </c>
      <c r="O17" s="36">
        <v>54</v>
      </c>
      <c r="P17" s="43"/>
      <c r="Q17" s="44"/>
      <c r="R17" s="44"/>
      <c r="S17" s="14" t="e">
        <f t="shared" si="1"/>
        <v>#DIV/0!</v>
      </c>
      <c r="T17" s="47"/>
    </row>
    <row r="18" spans="1:20" ht="18" customHeight="1" x14ac:dyDescent="0.3">
      <c r="A18" s="36">
        <v>9</v>
      </c>
      <c r="B18" s="170">
        <v>45190</v>
      </c>
      <c r="C18" s="173">
        <v>5.84</v>
      </c>
      <c r="D18" s="14" t="s">
        <v>78</v>
      </c>
      <c r="E18" s="44">
        <f t="shared" si="0"/>
        <v>308.21917808219177</v>
      </c>
      <c r="F18" s="176">
        <v>929</v>
      </c>
      <c r="H18" s="36">
        <v>21</v>
      </c>
      <c r="I18" s="170">
        <v>44874</v>
      </c>
      <c r="J18" s="178">
        <v>11.53</v>
      </c>
      <c r="K18" s="14" t="s">
        <v>78</v>
      </c>
      <c r="L18" s="44">
        <f t="shared" si="2"/>
        <v>156.11448395490027</v>
      </c>
      <c r="M18" s="172">
        <v>2250</v>
      </c>
      <c r="O18" s="36">
        <v>55</v>
      </c>
      <c r="P18" s="43"/>
      <c r="Q18" s="44"/>
      <c r="R18" s="44"/>
      <c r="S18" s="14" t="e">
        <f t="shared" si="1"/>
        <v>#DIV/0!</v>
      </c>
      <c r="T18" s="47"/>
    </row>
    <row r="19" spans="1:20" ht="18" customHeight="1" x14ac:dyDescent="0.3">
      <c r="A19" s="36">
        <v>10</v>
      </c>
      <c r="B19" s="170">
        <v>44873</v>
      </c>
      <c r="C19" s="178">
        <v>7.53</v>
      </c>
      <c r="D19" s="14" t="s">
        <v>78</v>
      </c>
      <c r="E19" s="44">
        <f t="shared" si="0"/>
        <v>239.04382470119521</v>
      </c>
      <c r="F19" s="175">
        <v>979</v>
      </c>
      <c r="H19" s="36">
        <v>22</v>
      </c>
      <c r="I19" s="170">
        <v>44980</v>
      </c>
      <c r="J19" s="178">
        <v>10.16</v>
      </c>
      <c r="K19" s="14" t="s">
        <v>78</v>
      </c>
      <c r="L19" s="44">
        <f t="shared" si="2"/>
        <v>177.16535433070865</v>
      </c>
      <c r="M19" s="172">
        <v>2120</v>
      </c>
      <c r="O19" s="36">
        <v>56</v>
      </c>
      <c r="P19" s="43"/>
      <c r="Q19" s="44"/>
      <c r="R19" s="44"/>
      <c r="S19" s="14" t="e">
        <f t="shared" si="1"/>
        <v>#DIV/0!</v>
      </c>
      <c r="T19" s="47"/>
    </row>
    <row r="20" spans="1:20" ht="18" customHeight="1" x14ac:dyDescent="0.3">
      <c r="A20" s="36">
        <v>11</v>
      </c>
      <c r="B20" s="170">
        <v>44873</v>
      </c>
      <c r="C20" s="178">
        <v>5.98</v>
      </c>
      <c r="D20" s="14" t="s">
        <v>78</v>
      </c>
      <c r="E20" s="44">
        <f t="shared" si="0"/>
        <v>301.00334448160532</v>
      </c>
      <c r="F20" s="175">
        <v>875</v>
      </c>
      <c r="H20" s="36">
        <v>23</v>
      </c>
      <c r="I20" s="182">
        <v>45147</v>
      </c>
      <c r="J20" s="178">
        <v>11.39</v>
      </c>
      <c r="K20" s="14" t="s">
        <v>78</v>
      </c>
      <c r="L20" s="44">
        <f t="shared" si="2"/>
        <v>158.03336259877085</v>
      </c>
      <c r="M20" s="172">
        <v>1710</v>
      </c>
      <c r="O20" s="36">
        <v>57</v>
      </c>
      <c r="P20" s="43"/>
      <c r="Q20" s="44"/>
      <c r="R20" s="44"/>
      <c r="S20" s="14" t="e">
        <f t="shared" si="1"/>
        <v>#DIV/0!</v>
      </c>
      <c r="T20" s="47"/>
    </row>
    <row r="21" spans="1:20" ht="18" customHeight="1" thickBot="1" x14ac:dyDescent="0.35">
      <c r="A21" s="36">
        <v>12</v>
      </c>
      <c r="B21" s="171">
        <v>45145</v>
      </c>
      <c r="C21" s="179">
        <v>7.82</v>
      </c>
      <c r="D21" s="14" t="s">
        <v>78</v>
      </c>
      <c r="E21" s="44">
        <f t="shared" si="0"/>
        <v>230.17902813299233</v>
      </c>
      <c r="F21" s="177">
        <v>880</v>
      </c>
      <c r="H21" s="36">
        <v>24</v>
      </c>
      <c r="I21" s="182">
        <v>44875</v>
      </c>
      <c r="J21" s="178">
        <v>9.94</v>
      </c>
      <c r="K21" s="14" t="s">
        <v>78</v>
      </c>
      <c r="L21" s="44">
        <f t="shared" si="2"/>
        <v>181.08651911468814</v>
      </c>
      <c r="M21" s="172">
        <v>1680</v>
      </c>
      <c r="O21" s="36">
        <v>58</v>
      </c>
      <c r="P21" s="43"/>
      <c r="Q21" s="44"/>
      <c r="R21" s="44"/>
      <c r="S21" s="14" t="e">
        <f t="shared" si="1"/>
        <v>#DIV/0!</v>
      </c>
      <c r="T21" s="47"/>
    </row>
    <row r="22" spans="1:20" ht="18" customHeight="1" x14ac:dyDescent="0.3">
      <c r="A22" s="36"/>
      <c r="B22" s="13"/>
      <c r="C22" s="14"/>
      <c r="D22" s="14"/>
      <c r="E22" s="44"/>
      <c r="F22" s="15"/>
      <c r="H22" s="36">
        <v>25</v>
      </c>
      <c r="I22" s="182">
        <v>45061</v>
      </c>
      <c r="J22" s="178">
        <v>10.52</v>
      </c>
      <c r="K22" s="14" t="s">
        <v>78</v>
      </c>
      <c r="L22" s="44">
        <f t="shared" si="2"/>
        <v>171.10266159695817</v>
      </c>
      <c r="M22" s="172">
        <v>1480</v>
      </c>
      <c r="O22" s="36">
        <v>59</v>
      </c>
      <c r="P22" s="43"/>
      <c r="Q22" s="44"/>
      <c r="R22" s="44"/>
      <c r="S22" s="14" t="e">
        <f t="shared" si="1"/>
        <v>#DIV/0!</v>
      </c>
      <c r="T22" s="47"/>
    </row>
    <row r="23" spans="1:20" ht="18" customHeight="1" x14ac:dyDescent="0.3">
      <c r="A23" s="36"/>
      <c r="B23" s="13"/>
      <c r="C23" s="14"/>
      <c r="D23" s="14"/>
      <c r="E23" s="44"/>
      <c r="F23" s="15"/>
      <c r="H23" s="36">
        <v>26</v>
      </c>
      <c r="I23" s="182">
        <v>44789</v>
      </c>
      <c r="J23" s="178">
        <v>9.52</v>
      </c>
      <c r="K23" s="14" t="s">
        <v>78</v>
      </c>
      <c r="L23" s="44">
        <f t="shared" si="2"/>
        <v>189.07563025210084</v>
      </c>
      <c r="M23" s="172">
        <v>1001</v>
      </c>
      <c r="O23" s="36">
        <v>60</v>
      </c>
      <c r="P23" s="43"/>
      <c r="Q23" s="44"/>
      <c r="R23" s="44"/>
      <c r="S23" s="14" t="e">
        <f t="shared" si="1"/>
        <v>#DIV/0!</v>
      </c>
      <c r="T23" s="47"/>
    </row>
    <row r="24" spans="1:20" ht="18" customHeight="1" x14ac:dyDescent="0.3">
      <c r="A24" s="36"/>
      <c r="B24" s="13"/>
      <c r="C24" s="14"/>
      <c r="D24" s="14"/>
      <c r="E24" s="44"/>
      <c r="F24" s="15"/>
      <c r="H24" s="36">
        <v>27</v>
      </c>
      <c r="I24" s="182">
        <v>45220</v>
      </c>
      <c r="J24" s="178">
        <v>9.34</v>
      </c>
      <c r="K24" s="14" t="s">
        <v>78</v>
      </c>
      <c r="L24" s="44">
        <f t="shared" si="2"/>
        <v>192.71948608137046</v>
      </c>
      <c r="M24" s="172">
        <v>1089</v>
      </c>
      <c r="O24" s="36">
        <v>61</v>
      </c>
      <c r="P24" s="43"/>
      <c r="Q24" s="44"/>
      <c r="R24" s="44"/>
      <c r="S24" s="14" t="e">
        <f t="shared" si="1"/>
        <v>#DIV/0!</v>
      </c>
      <c r="T24" s="47"/>
    </row>
    <row r="25" spans="1:20" ht="18" customHeight="1" x14ac:dyDescent="0.3">
      <c r="A25" s="36"/>
      <c r="B25" s="13"/>
      <c r="C25" s="14"/>
      <c r="D25" s="14"/>
      <c r="E25" s="44"/>
      <c r="F25" s="15"/>
      <c r="H25" s="36">
        <v>28</v>
      </c>
      <c r="I25" s="13"/>
      <c r="J25" s="150" t="e">
        <f>1800/#REF!</f>
        <v>#REF!</v>
      </c>
      <c r="K25" s="151"/>
      <c r="L25" s="151"/>
      <c r="M25" s="152"/>
      <c r="O25" s="36">
        <v>62</v>
      </c>
      <c r="P25" s="43"/>
      <c r="Q25" s="44"/>
      <c r="R25" s="44"/>
      <c r="S25" s="14" t="e">
        <f t="shared" si="1"/>
        <v>#DIV/0!</v>
      </c>
      <c r="T25" s="47"/>
    </row>
    <row r="26" spans="1:20" ht="18" customHeight="1" x14ac:dyDescent="0.3">
      <c r="A26" s="36"/>
      <c r="B26" s="13"/>
      <c r="C26" s="14"/>
      <c r="D26" s="14"/>
      <c r="E26" s="44"/>
      <c r="F26" s="15"/>
      <c r="H26" s="36">
        <v>29</v>
      </c>
      <c r="I26" s="13"/>
      <c r="J26" s="150" t="e">
        <f>1800/#REF!</f>
        <v>#REF!</v>
      </c>
      <c r="K26" s="151"/>
      <c r="L26" s="151"/>
      <c r="M26" s="152"/>
      <c r="O26" s="36">
        <v>63</v>
      </c>
      <c r="P26" s="43"/>
      <c r="Q26" s="44"/>
      <c r="R26" s="44"/>
      <c r="S26" s="14" t="e">
        <f t="shared" si="1"/>
        <v>#DIV/0!</v>
      </c>
      <c r="T26" s="47"/>
    </row>
    <row r="27" spans="1:20" ht="18" customHeight="1" x14ac:dyDescent="0.3">
      <c r="A27" s="36"/>
      <c r="B27" s="13"/>
      <c r="C27" s="14"/>
      <c r="D27" s="14"/>
      <c r="E27" s="44"/>
      <c r="F27" s="15"/>
      <c r="H27" s="36">
        <v>30</v>
      </c>
      <c r="I27" s="182">
        <v>44875</v>
      </c>
      <c r="J27" s="178">
        <v>9.27</v>
      </c>
      <c r="K27" s="14" t="s">
        <v>78</v>
      </c>
      <c r="L27" s="44">
        <f t="shared" si="2"/>
        <v>194.17475728155341</v>
      </c>
      <c r="M27" s="172">
        <v>998</v>
      </c>
      <c r="O27" s="36">
        <v>64</v>
      </c>
      <c r="P27" s="43"/>
      <c r="Q27" s="44"/>
      <c r="R27" s="44"/>
      <c r="S27" s="14" t="e">
        <f t="shared" si="1"/>
        <v>#DIV/0!</v>
      </c>
      <c r="T27" s="47"/>
    </row>
    <row r="28" spans="1:20" ht="18" customHeight="1" x14ac:dyDescent="0.3">
      <c r="A28" s="36"/>
      <c r="B28" s="13"/>
      <c r="C28" s="14"/>
      <c r="D28" s="14"/>
      <c r="E28" s="44"/>
      <c r="F28" s="15"/>
      <c r="H28" s="36">
        <v>31</v>
      </c>
      <c r="I28" s="182">
        <v>44873</v>
      </c>
      <c r="J28" s="178">
        <v>11.61</v>
      </c>
      <c r="K28" s="14" t="s">
        <v>78</v>
      </c>
      <c r="L28" s="44">
        <f t="shared" si="2"/>
        <v>155.0387596899225</v>
      </c>
      <c r="M28" s="172">
        <v>1880</v>
      </c>
      <c r="O28" s="36">
        <v>65</v>
      </c>
      <c r="P28" s="43"/>
      <c r="Q28" s="44"/>
      <c r="R28" s="44"/>
      <c r="S28" s="14" t="e">
        <f t="shared" si="1"/>
        <v>#DIV/0!</v>
      </c>
      <c r="T28" s="47"/>
    </row>
    <row r="29" spans="1:20" ht="18" customHeight="1" x14ac:dyDescent="0.3">
      <c r="A29" s="36"/>
      <c r="B29" s="13"/>
      <c r="C29" s="14"/>
      <c r="D29" s="14"/>
      <c r="E29" s="44"/>
      <c r="F29" s="15"/>
      <c r="H29" s="36">
        <v>32</v>
      </c>
      <c r="I29" s="182">
        <v>44981</v>
      </c>
      <c r="J29" s="178">
        <v>11.39</v>
      </c>
      <c r="K29" s="14" t="s">
        <v>78</v>
      </c>
      <c r="L29" s="44">
        <f t="shared" si="2"/>
        <v>158.03336259877085</v>
      </c>
      <c r="M29" s="172">
        <v>1750</v>
      </c>
      <c r="O29" s="36">
        <v>66</v>
      </c>
      <c r="P29" s="43"/>
      <c r="Q29" s="44"/>
      <c r="R29" s="44"/>
      <c r="S29" s="14" t="e">
        <f t="shared" si="1"/>
        <v>#DIV/0!</v>
      </c>
      <c r="T29" s="47"/>
    </row>
    <row r="30" spans="1:20" ht="18" customHeight="1" x14ac:dyDescent="0.3">
      <c r="A30" s="36"/>
      <c r="B30" s="13"/>
      <c r="C30" s="14"/>
      <c r="D30" s="14"/>
      <c r="E30" s="44"/>
      <c r="F30" s="15"/>
      <c r="H30" s="36">
        <v>33</v>
      </c>
      <c r="I30" s="182">
        <v>44981</v>
      </c>
      <c r="J30" s="178">
        <v>12.16</v>
      </c>
      <c r="K30" s="14" t="s">
        <v>78</v>
      </c>
      <c r="L30" s="44">
        <f t="shared" si="2"/>
        <v>148.02631578947367</v>
      </c>
      <c r="M30" s="172">
        <v>720</v>
      </c>
      <c r="O30" s="36">
        <v>67</v>
      </c>
      <c r="P30" s="43"/>
      <c r="Q30" s="44"/>
      <c r="R30" s="44"/>
      <c r="S30" s="14" t="e">
        <f t="shared" si="1"/>
        <v>#DIV/0!</v>
      </c>
      <c r="T30" s="47"/>
    </row>
    <row r="31" spans="1:20" ht="18" customHeight="1" x14ac:dyDescent="0.3">
      <c r="A31" s="36"/>
      <c r="B31" s="13"/>
      <c r="C31" s="14"/>
      <c r="D31" s="14"/>
      <c r="E31" s="44"/>
      <c r="F31" s="15"/>
      <c r="H31" s="36">
        <v>34</v>
      </c>
      <c r="I31" s="182">
        <v>44826</v>
      </c>
      <c r="J31" s="178">
        <v>17.82</v>
      </c>
      <c r="K31" s="14" t="s">
        <v>78</v>
      </c>
      <c r="L31" s="44">
        <f t="shared" si="2"/>
        <v>101.01010101010101</v>
      </c>
      <c r="M31" s="172">
        <v>2980</v>
      </c>
      <c r="O31" s="36">
        <v>68</v>
      </c>
      <c r="P31" s="43"/>
      <c r="Q31" s="44"/>
      <c r="R31" s="44"/>
      <c r="S31" s="14" t="e">
        <f t="shared" si="1"/>
        <v>#DIV/0!</v>
      </c>
      <c r="T31" s="47"/>
    </row>
    <row r="32" spans="1:20" ht="18" customHeight="1" x14ac:dyDescent="0.3">
      <c r="A32" s="153"/>
      <c r="B32" s="154"/>
      <c r="C32" s="17"/>
      <c r="D32" s="17"/>
      <c r="E32" s="44"/>
      <c r="F32" s="180"/>
      <c r="H32" s="36">
        <v>35</v>
      </c>
      <c r="I32" s="182">
        <v>45000</v>
      </c>
      <c r="J32" s="178">
        <v>12</v>
      </c>
      <c r="K32" s="14" t="s">
        <v>78</v>
      </c>
      <c r="L32" s="44">
        <f t="shared" si="2"/>
        <v>150</v>
      </c>
      <c r="M32" s="172">
        <v>1080</v>
      </c>
      <c r="O32" s="36"/>
      <c r="P32" s="181"/>
      <c r="Q32" s="101"/>
      <c r="R32" s="101"/>
      <c r="S32" s="14"/>
      <c r="T32" s="155"/>
    </row>
    <row r="33" spans="1:20" ht="18" customHeight="1" x14ac:dyDescent="0.3">
      <c r="A33" s="153"/>
      <c r="B33" s="154"/>
      <c r="C33" s="17"/>
      <c r="D33" s="17"/>
      <c r="E33" s="44"/>
      <c r="F33" s="180"/>
      <c r="H33" s="36">
        <v>36</v>
      </c>
      <c r="I33" s="182">
        <v>45061</v>
      </c>
      <c r="J33" s="178">
        <v>14.4</v>
      </c>
      <c r="K33" s="14" t="s">
        <v>78</v>
      </c>
      <c r="L33" s="44">
        <f t="shared" si="2"/>
        <v>125</v>
      </c>
      <c r="M33" s="172">
        <v>2310</v>
      </c>
      <c r="O33" s="36"/>
      <c r="P33" s="181"/>
      <c r="Q33" s="101"/>
      <c r="R33" s="101"/>
      <c r="S33" s="14"/>
      <c r="T33" s="155"/>
    </row>
    <row r="34" spans="1:20" ht="18" customHeight="1" x14ac:dyDescent="0.3">
      <c r="A34" s="153"/>
      <c r="B34" s="154"/>
      <c r="C34" s="17"/>
      <c r="D34" s="17"/>
      <c r="E34" s="44"/>
      <c r="F34" s="180"/>
      <c r="H34" s="36">
        <v>37</v>
      </c>
      <c r="I34" s="182">
        <v>45000</v>
      </c>
      <c r="J34" s="178">
        <v>10.9</v>
      </c>
      <c r="K34" s="14" t="s">
        <v>78</v>
      </c>
      <c r="L34" s="44">
        <f t="shared" si="2"/>
        <v>165.13761467889907</v>
      </c>
      <c r="M34" s="172">
        <v>973</v>
      </c>
      <c r="O34" s="36"/>
      <c r="P34" s="181"/>
      <c r="Q34" s="101"/>
      <c r="R34" s="101"/>
      <c r="S34" s="14"/>
      <c r="T34" s="155"/>
    </row>
    <row r="35" spans="1:20" ht="18" customHeight="1" thickBot="1" x14ac:dyDescent="0.35">
      <c r="A35" s="37"/>
      <c r="B35" s="16"/>
      <c r="C35" s="17"/>
      <c r="D35" s="17"/>
      <c r="E35" s="44"/>
      <c r="F35" s="18"/>
      <c r="H35" s="36">
        <v>38</v>
      </c>
      <c r="I35" s="171">
        <v>45000</v>
      </c>
      <c r="J35" s="179">
        <v>12.16</v>
      </c>
      <c r="K35" s="14" t="s">
        <v>78</v>
      </c>
      <c r="L35" s="44">
        <f t="shared" si="2"/>
        <v>148.02631578947367</v>
      </c>
      <c r="M35" s="174">
        <v>1580</v>
      </c>
      <c r="O35" s="36">
        <v>69</v>
      </c>
      <c r="P35" s="45"/>
      <c r="Q35" s="46"/>
      <c r="R35" s="46"/>
      <c r="S35" s="14" t="e">
        <f t="shared" si="1"/>
        <v>#DIV/0!</v>
      </c>
      <c r="T35" s="48"/>
    </row>
    <row r="36" spans="1:20" x14ac:dyDescent="0.3">
      <c r="A36" s="6"/>
      <c r="C36" s="139" t="s">
        <v>14</v>
      </c>
      <c r="D36" s="140"/>
      <c r="E36" s="83">
        <f>SUM(E10:E21)</f>
        <v>3202.877816935596</v>
      </c>
      <c r="J36" s="139" t="s">
        <v>14</v>
      </c>
      <c r="K36" s="140"/>
      <c r="L36" s="83">
        <f>SUM(L10:L35)</f>
        <v>3601.9452873604309</v>
      </c>
      <c r="Q36" s="139" t="s">
        <v>14</v>
      </c>
      <c r="R36" s="140"/>
      <c r="S36" s="9"/>
      <c r="T36" s="8"/>
    </row>
    <row r="37" spans="1:20" ht="15" thickBot="1" x14ac:dyDescent="0.35">
      <c r="A37" s="6"/>
      <c r="C37" s="143" t="s">
        <v>15</v>
      </c>
      <c r="D37" s="144"/>
      <c r="E37" s="80">
        <f>IFERROR(ROUND(AVERAGE(E10:E35),0),"")</f>
        <v>267</v>
      </c>
      <c r="J37" s="143" t="s">
        <v>15</v>
      </c>
      <c r="K37" s="144"/>
      <c r="L37" s="80">
        <f>IFERROR(ROUND(AVERAGE(L10:L35),0),"")</f>
        <v>157</v>
      </c>
      <c r="Q37" s="143" t="s">
        <v>15</v>
      </c>
      <c r="R37" s="144"/>
      <c r="S37" s="20" t="str">
        <f>IFERROR(ROUND(AVERAGE(S10:S35),0),"")</f>
        <v/>
      </c>
      <c r="T37" s="8"/>
    </row>
    <row r="38" spans="1:20" ht="9.75" customHeight="1" thickBot="1" x14ac:dyDescent="0.35">
      <c r="A38" s="6"/>
      <c r="T38" s="8"/>
    </row>
    <row r="39" spans="1:20" ht="16.2" thickBot="1" x14ac:dyDescent="0.35">
      <c r="A39" s="21"/>
      <c r="C39" s="145" t="s">
        <v>16</v>
      </c>
      <c r="D39" s="146"/>
      <c r="E39" s="147"/>
      <c r="H39" s="39" t="s">
        <v>17</v>
      </c>
      <c r="I39" s="185">
        <v>8150</v>
      </c>
      <c r="J39" s="22" t="s">
        <v>18</v>
      </c>
      <c r="L39" s="84"/>
      <c r="T39" s="8"/>
    </row>
    <row r="40" spans="1:20" ht="15.6" x14ac:dyDescent="0.3">
      <c r="A40" s="24"/>
      <c r="C40" s="25" t="s">
        <v>19</v>
      </c>
      <c r="D40" s="183">
        <v>2</v>
      </c>
      <c r="E40" s="26" t="s">
        <v>20</v>
      </c>
      <c r="H40" s="40" t="s">
        <v>21</v>
      </c>
      <c r="I40" s="186">
        <v>1240</v>
      </c>
      <c r="J40" s="27" t="s">
        <v>18</v>
      </c>
      <c r="L40" s="85"/>
      <c r="T40" s="8"/>
    </row>
    <row r="41" spans="1:20" ht="15.6" x14ac:dyDescent="0.3">
      <c r="A41" s="6"/>
      <c r="C41" s="25" t="s">
        <v>19</v>
      </c>
      <c r="D41" s="173">
        <v>4.3</v>
      </c>
      <c r="E41" s="26" t="s">
        <v>20</v>
      </c>
      <c r="H41" s="40" t="s">
        <v>23</v>
      </c>
      <c r="I41" s="186">
        <v>6.8</v>
      </c>
      <c r="J41" s="27" t="s">
        <v>24</v>
      </c>
      <c r="T41" s="8"/>
    </row>
    <row r="42" spans="1:20" ht="15" customHeight="1" x14ac:dyDescent="0.3">
      <c r="A42" s="6"/>
      <c r="C42" s="25" t="s">
        <v>22</v>
      </c>
      <c r="D42" s="173">
        <v>3.1</v>
      </c>
      <c r="E42" s="26" t="s">
        <v>20</v>
      </c>
      <c r="H42" s="40" t="s">
        <v>26</v>
      </c>
      <c r="I42" s="186">
        <v>40</v>
      </c>
      <c r="J42" s="27" t="s">
        <v>27</v>
      </c>
      <c r="T42" s="8"/>
    </row>
    <row r="43" spans="1:20" ht="15.6" x14ac:dyDescent="0.3">
      <c r="A43" s="6"/>
      <c r="C43" s="25" t="s">
        <v>25</v>
      </c>
      <c r="D43" s="173">
        <v>3</v>
      </c>
      <c r="E43" s="26" t="s">
        <v>20</v>
      </c>
      <c r="H43" s="40" t="s">
        <v>29</v>
      </c>
      <c r="I43" s="186">
        <v>3200</v>
      </c>
      <c r="J43" s="27" t="s">
        <v>30</v>
      </c>
      <c r="T43" s="8"/>
    </row>
    <row r="44" spans="1:20" ht="15.6" x14ac:dyDescent="0.3">
      <c r="A44" s="6"/>
      <c r="C44" s="25" t="s">
        <v>28</v>
      </c>
      <c r="D44" s="173">
        <v>31</v>
      </c>
      <c r="E44" s="26" t="s">
        <v>20</v>
      </c>
      <c r="H44" s="40" t="s">
        <v>32</v>
      </c>
      <c r="I44" s="186">
        <v>3600</v>
      </c>
      <c r="J44" s="27" t="s">
        <v>30</v>
      </c>
      <c r="L44" s="148" t="s">
        <v>33</v>
      </c>
      <c r="M44" s="148"/>
      <c r="P44" s="148" t="s">
        <v>34</v>
      </c>
      <c r="Q44" s="148"/>
      <c r="R44" s="148" t="s">
        <v>35</v>
      </c>
      <c r="S44" s="148"/>
      <c r="T44" s="149"/>
    </row>
    <row r="45" spans="1:20" ht="15.6" x14ac:dyDescent="0.3">
      <c r="A45" s="6"/>
      <c r="C45" s="25" t="s">
        <v>31</v>
      </c>
      <c r="D45" s="173">
        <v>32</v>
      </c>
      <c r="E45" s="26" t="s">
        <v>20</v>
      </c>
      <c r="H45" s="40" t="s">
        <v>48</v>
      </c>
      <c r="I45" s="186"/>
      <c r="J45" s="27" t="s">
        <v>30</v>
      </c>
      <c r="L45" s="141" t="s">
        <v>38</v>
      </c>
      <c r="M45" s="141"/>
      <c r="P45" s="141" t="s">
        <v>39</v>
      </c>
      <c r="Q45" s="141"/>
      <c r="R45" s="141" t="s">
        <v>40</v>
      </c>
      <c r="S45" s="141"/>
      <c r="T45" s="142"/>
    </row>
    <row r="46" spans="1:20" ht="15.6" x14ac:dyDescent="0.3">
      <c r="A46" s="6"/>
      <c r="C46" s="25" t="s">
        <v>36</v>
      </c>
      <c r="D46" s="173">
        <v>29</v>
      </c>
      <c r="E46" s="26" t="s">
        <v>20</v>
      </c>
      <c r="H46" s="40" t="s">
        <v>37</v>
      </c>
      <c r="I46" s="186">
        <v>6800</v>
      </c>
      <c r="J46" s="27" t="s">
        <v>30</v>
      </c>
      <c r="T46" s="8"/>
    </row>
    <row r="47" spans="1:20" ht="15.6" x14ac:dyDescent="0.3">
      <c r="A47" s="6"/>
      <c r="C47" s="25" t="s">
        <v>41</v>
      </c>
      <c r="D47" s="173">
        <v>0</v>
      </c>
      <c r="E47" s="26" t="s">
        <v>20</v>
      </c>
      <c r="H47" s="40" t="s">
        <v>42</v>
      </c>
      <c r="I47" s="186">
        <v>12120</v>
      </c>
      <c r="J47" s="27" t="s">
        <v>18</v>
      </c>
      <c r="T47" s="8"/>
    </row>
    <row r="48" spans="1:20" ht="16.2" thickBot="1" x14ac:dyDescent="0.35">
      <c r="A48" s="31"/>
      <c r="B48" s="32"/>
      <c r="C48" s="29" t="s">
        <v>43</v>
      </c>
      <c r="D48" s="184">
        <v>0</v>
      </c>
      <c r="E48" s="30" t="s">
        <v>20</v>
      </c>
      <c r="F48" s="32"/>
      <c r="G48" s="32"/>
      <c r="H48" s="40" t="s">
        <v>44</v>
      </c>
      <c r="I48" s="187">
        <v>10</v>
      </c>
      <c r="J48" s="27" t="s">
        <v>45</v>
      </c>
      <c r="K48" s="32"/>
      <c r="L48" s="42"/>
      <c r="M48" s="42"/>
      <c r="N48" s="32"/>
      <c r="O48" s="42"/>
      <c r="P48" s="32"/>
      <c r="Q48" s="32"/>
      <c r="R48" s="32"/>
      <c r="S48" s="32"/>
      <c r="T48" s="34"/>
    </row>
    <row r="49" spans="3:10" ht="15" thickBot="1" x14ac:dyDescent="0.35">
      <c r="C49" s="32"/>
      <c r="D49" s="32"/>
      <c r="E49" s="42"/>
      <c r="H49" s="41" t="s">
        <v>46</v>
      </c>
      <c r="I49" s="46">
        <v>6.8</v>
      </c>
      <c r="J49" s="33" t="s">
        <v>45</v>
      </c>
    </row>
  </sheetData>
  <mergeCells count="25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6:D36"/>
    <mergeCell ref="J36:K36"/>
    <mergeCell ref="Q36:R36"/>
    <mergeCell ref="J25:M25"/>
    <mergeCell ref="J26:M26"/>
    <mergeCell ref="J11:M11"/>
    <mergeCell ref="L45:M45"/>
    <mergeCell ref="P45:Q45"/>
    <mergeCell ref="R45:T45"/>
    <mergeCell ref="C37:D37"/>
    <mergeCell ref="J37:K37"/>
    <mergeCell ref="Q37:R37"/>
    <mergeCell ref="C39:E39"/>
    <mergeCell ref="L44:M44"/>
    <mergeCell ref="P44:Q44"/>
    <mergeCell ref="R44:T44"/>
  </mergeCells>
  <conditionalFormatting sqref="F10:F17 F19:F21">
    <cfRule type="cellIs" dxfId="9" priority="5" stopIfTrue="1" operator="greaterThan">
      <formula>1800</formula>
    </cfRule>
  </conditionalFormatting>
  <conditionalFormatting sqref="M10">
    <cfRule type="cellIs" dxfId="8" priority="4" operator="greaterThan">
      <formula>2500</formula>
    </cfRule>
  </conditionalFormatting>
  <conditionalFormatting sqref="M12:M24">
    <cfRule type="cellIs" dxfId="7" priority="2" operator="greaterThan">
      <formula>2500</formula>
    </cfRule>
  </conditionalFormatting>
  <conditionalFormatting sqref="M23:M24">
    <cfRule type="cellIs" dxfId="6" priority="3" stopIfTrue="1" operator="greaterThan">
      <formula>2500</formula>
    </cfRule>
  </conditionalFormatting>
  <conditionalFormatting sqref="M27:M35">
    <cfRule type="cellIs" dxfId="5" priority="1" operator="greaterThan">
      <formula>2500</formula>
    </cfRule>
  </conditionalFormatting>
  <dataValidations count="9">
    <dataValidation type="whole" operator="greaterThanOrEqual" showErrorMessage="1" errorTitle="Plant SR No" error="Plant SR No must be a whole number &gt;= 1." sqref="C4" xr:uid="{F685768D-833B-436A-9883-751B67C7B05C}">
      <formula1>1</formula1>
    </dataValidation>
    <dataValidation type="decimal" operator="greaterThanOrEqual" allowBlank="1" showErrorMessage="1" errorTitle="Value" error="Value must be a number &gt;= 0." sqref="I39:I49 D40:D48" xr:uid="{6B2AFC6F-198B-438F-9A8B-17D5E3F281A3}">
      <formula1>0</formula1>
    </dataValidation>
    <dataValidation type="decimal" allowBlank="1" showErrorMessage="1" errorTitle="Conductivity" error="Conductivity must be 0..50000 us/cm." sqref="F10:F35 T10:T35 M12:M24 M10 M27:M35" xr:uid="{39079BCC-B3AE-4006-A8BF-CEA8D27BA630}">
      <formula1>0</formula1>
      <formula2>50000</formula2>
    </dataValidation>
    <dataValidation type="decimal" operator="greaterThanOrEqual" allowBlank="1" showErrorMessage="1" errorTitle="Flow" error="Flow must be a number &gt;= 0." sqref="C10:C35 E10:E35 S10:S35 Q10:Q35 L27:L35 L10 J10:J35 L12:L24" xr:uid="{6537BD5C-CB4C-4437-B7B1-9E7A8CBCE576}">
      <formula1>0</formula1>
    </dataValidation>
    <dataValidation type="date" operator="greaterThan" allowBlank="1" showErrorMessage="1" errorTitle="Date" error="Enter a real date." sqref="B10:B35 I3 I10:I35 P10:P35" xr:uid="{289AB5C3-F6A1-4E54-8967-02FFB8695675}">
      <formula1>DATE(2000,1,1)</formula1>
    </dataValidation>
    <dataValidation type="whole" operator="greaterThanOrEqual" allowBlank="1" showErrorMessage="1" errorTitle="Module no." error="Module number must be a whole number &gt;= 1." sqref="A10:A35 O10:O35 H10:H35" xr:uid="{5C5C9B6A-F7D9-46DA-BACD-216A0D628DBE}">
      <formula1>1</formula1>
    </dataValidation>
    <dataValidation type="list" allowBlank="1" sqref="R10:R35 D10:D35 K12:K24 K10 K27:K35" xr:uid="{DC774E72-2DF9-4636-BD80-E549E3F23CE4}">
      <formula1>"Non Colour,Colour"</formula1>
    </dataValidation>
    <dataValidation type="list" showErrorMessage="1" errorTitle="Zone" error="Pick a zone from the list." sqref="C5" xr:uid="{E2F8A21C-D3AD-433D-8830-177A6C646178}">
      <formula1>"Ahmedabad,Vadodara,Ankleshwar,Panoli,Jhagadia,Dahej,Vapi"</formula1>
    </dataValidation>
    <dataValidation type="list" allowBlank="1" showErrorMessage="1" errorTitle="Stage" error="Pick the stage from the list." sqref="A8 H8 O8" xr:uid="{9FB44545-BD46-4341-A4EC-5C23171AD24D}">
      <formula1>"I STAGE,II STAGE,III STAGE,IV STAGE"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138-9472-4EEB-A67A-B5927F7DD1A1}">
  <dimension ref="A1:U46"/>
  <sheetViews>
    <sheetView workbookViewId="0">
      <selection activeCell="E15" sqref="E15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7" customWidth="1"/>
    <col min="4" max="4" width="10.109375" style="7" bestFit="1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0.109375" style="7" bestFit="1" customWidth="1"/>
    <col min="12" max="12" width="8.6640625" style="38" customWidth="1"/>
    <col min="13" max="13" width="10.6640625" style="38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81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82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thickBot="1" x14ac:dyDescent="0.35">
      <c r="A9" s="10" t="s">
        <v>8</v>
      </c>
      <c r="B9" s="11" t="s">
        <v>9</v>
      </c>
      <c r="C9" s="11" t="s">
        <v>50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thickBot="1" x14ac:dyDescent="0.35">
      <c r="A10" s="36">
        <v>1</v>
      </c>
      <c r="B10" s="192">
        <v>45217</v>
      </c>
      <c r="C10" s="188">
        <v>8.7899999999999991</v>
      </c>
      <c r="D10" s="14" t="s">
        <v>78</v>
      </c>
      <c r="E10" s="14">
        <f>1800/C10</f>
        <v>204.77815699658706</v>
      </c>
      <c r="F10" s="47">
        <v>790</v>
      </c>
      <c r="H10" s="36">
        <v>24</v>
      </c>
      <c r="I10" s="192">
        <v>45207</v>
      </c>
      <c r="J10" s="188">
        <v>20</v>
      </c>
      <c r="K10" s="14" t="s">
        <v>78</v>
      </c>
      <c r="L10" s="44">
        <f>1800/J10</f>
        <v>90</v>
      </c>
      <c r="M10" s="47">
        <v>1080</v>
      </c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thickBot="1" x14ac:dyDescent="0.35">
      <c r="A11" s="36">
        <v>2</v>
      </c>
      <c r="B11" s="170">
        <v>45217</v>
      </c>
      <c r="C11" s="178">
        <v>9.09</v>
      </c>
      <c r="D11" s="14" t="s">
        <v>78</v>
      </c>
      <c r="E11" s="14">
        <f>1800/C11</f>
        <v>198.01980198019803</v>
      </c>
      <c r="F11" s="47">
        <v>810</v>
      </c>
      <c r="H11" s="36">
        <v>25</v>
      </c>
      <c r="I11" s="170">
        <v>45217</v>
      </c>
      <c r="J11" s="188">
        <v>24.18</v>
      </c>
      <c r="K11" s="14" t="s">
        <v>78</v>
      </c>
      <c r="L11" s="44">
        <f t="shared" ref="L11:L12" si="0">1800/J11</f>
        <v>74.441687344913149</v>
      </c>
      <c r="M11" s="47">
        <v>1081</v>
      </c>
      <c r="O11" s="36">
        <v>48</v>
      </c>
      <c r="P11" s="43"/>
      <c r="Q11" s="44"/>
      <c r="R11" s="44"/>
      <c r="S11" s="14" t="e">
        <f t="shared" ref="S11:S32" si="1">3600/Q11</f>
        <v>#DIV/0!</v>
      </c>
      <c r="T11" s="47"/>
    </row>
    <row r="12" spans="1:21" ht="18" customHeight="1" thickBot="1" x14ac:dyDescent="0.35">
      <c r="A12" s="36">
        <v>3</v>
      </c>
      <c r="B12" s="171">
        <v>45217</v>
      </c>
      <c r="C12" s="150" t="e">
        <f>1800/#REF!</f>
        <v>#REF!</v>
      </c>
      <c r="D12" s="151"/>
      <c r="E12" s="151"/>
      <c r="F12" s="193"/>
      <c r="H12" s="36">
        <v>26</v>
      </c>
      <c r="I12" s="170">
        <v>45217</v>
      </c>
      <c r="J12" s="188">
        <v>23.05</v>
      </c>
      <c r="K12" s="14" t="s">
        <v>78</v>
      </c>
      <c r="L12" s="44">
        <f t="shared" si="0"/>
        <v>78.091106290672442</v>
      </c>
      <c r="M12" s="47">
        <v>1082</v>
      </c>
      <c r="O12" s="36">
        <v>49</v>
      </c>
      <c r="P12" s="43"/>
      <c r="Q12" s="44"/>
      <c r="R12" s="44"/>
      <c r="S12" s="14" t="e">
        <f t="shared" si="1"/>
        <v>#DIV/0!</v>
      </c>
      <c r="T12" s="47"/>
    </row>
    <row r="13" spans="1:21" ht="18" customHeight="1" x14ac:dyDescent="0.3">
      <c r="A13" s="36">
        <v>4</v>
      </c>
      <c r="B13" s="13"/>
      <c r="C13" s="14"/>
      <c r="D13" s="14"/>
      <c r="E13" s="14"/>
      <c r="F13" s="15"/>
      <c r="H13" s="36">
        <v>27</v>
      </c>
      <c r="I13" s="170">
        <v>45217</v>
      </c>
      <c r="J13" s="178">
        <v>25.71</v>
      </c>
      <c r="K13" s="14" t="s">
        <v>78</v>
      </c>
      <c r="L13" s="44">
        <f>1800/J13</f>
        <v>70.01166861143524</v>
      </c>
      <c r="M13" s="172">
        <v>1420</v>
      </c>
      <c r="O13" s="36">
        <v>50</v>
      </c>
      <c r="P13" s="43"/>
      <c r="Q13" s="44"/>
      <c r="R13" s="44"/>
      <c r="S13" s="14" t="e">
        <f t="shared" si="1"/>
        <v>#DIV/0!</v>
      </c>
      <c r="T13" s="47"/>
    </row>
    <row r="14" spans="1:21" ht="18" customHeight="1" x14ac:dyDescent="0.3">
      <c r="A14" s="36">
        <v>5</v>
      </c>
      <c r="B14" s="13"/>
      <c r="C14" s="14"/>
      <c r="D14" s="14"/>
      <c r="E14" s="14"/>
      <c r="F14" s="15"/>
      <c r="H14" s="36">
        <v>28</v>
      </c>
      <c r="I14" s="170">
        <v>45217</v>
      </c>
      <c r="J14" s="178">
        <v>24</v>
      </c>
      <c r="K14" s="14" t="s">
        <v>78</v>
      </c>
      <c r="L14" s="44">
        <f t="shared" ref="L14:L19" si="2">1800/J14</f>
        <v>75</v>
      </c>
      <c r="M14" s="172">
        <v>1240</v>
      </c>
      <c r="O14" s="36">
        <v>51</v>
      </c>
      <c r="P14" s="43"/>
      <c r="Q14" s="44"/>
      <c r="R14" s="44"/>
      <c r="S14" s="14" t="e">
        <f t="shared" si="1"/>
        <v>#DIV/0!</v>
      </c>
      <c r="T14" s="53"/>
      <c r="U14" s="52"/>
    </row>
    <row r="15" spans="1:21" ht="18" customHeight="1" x14ac:dyDescent="0.3">
      <c r="A15" s="36">
        <v>6</v>
      </c>
      <c r="B15" s="13"/>
      <c r="C15" s="14"/>
      <c r="D15" s="14"/>
      <c r="E15" s="14"/>
      <c r="F15" s="15"/>
      <c r="H15" s="36">
        <v>29</v>
      </c>
      <c r="I15" s="170">
        <v>45217</v>
      </c>
      <c r="J15" s="178">
        <v>22.78</v>
      </c>
      <c r="K15" s="14" t="s">
        <v>78</v>
      </c>
      <c r="L15" s="44">
        <f t="shared" si="2"/>
        <v>79.016681299385425</v>
      </c>
      <c r="M15" s="172">
        <v>1010</v>
      </c>
      <c r="O15" s="36">
        <v>52</v>
      </c>
      <c r="P15" s="43"/>
      <c r="Q15" s="44"/>
      <c r="R15" s="44"/>
      <c r="S15" s="14" t="e">
        <f t="shared" si="1"/>
        <v>#DIV/0!</v>
      </c>
      <c r="T15" s="47"/>
    </row>
    <row r="16" spans="1:21" ht="18" customHeight="1" x14ac:dyDescent="0.3">
      <c r="A16" s="36">
        <v>7</v>
      </c>
      <c r="B16" s="13"/>
      <c r="C16" s="14"/>
      <c r="D16" s="14"/>
      <c r="E16" s="14"/>
      <c r="F16" s="15"/>
      <c r="H16" s="36">
        <v>30</v>
      </c>
      <c r="I16" s="170">
        <v>45217</v>
      </c>
      <c r="J16" s="178">
        <v>25</v>
      </c>
      <c r="K16" s="14" t="s">
        <v>78</v>
      </c>
      <c r="L16" s="44">
        <f t="shared" si="2"/>
        <v>72</v>
      </c>
      <c r="M16" s="172">
        <v>978</v>
      </c>
      <c r="O16" s="36">
        <v>53</v>
      </c>
      <c r="P16" s="43"/>
      <c r="Q16" s="44"/>
      <c r="R16" s="44"/>
      <c r="S16" s="14" t="e">
        <f t="shared" si="1"/>
        <v>#DIV/0!</v>
      </c>
      <c r="T16" s="47"/>
    </row>
    <row r="17" spans="1:20" ht="18" customHeight="1" x14ac:dyDescent="0.3">
      <c r="A17" s="36">
        <v>8</v>
      </c>
      <c r="B17" s="13"/>
      <c r="C17" s="14"/>
      <c r="D17" s="14"/>
      <c r="E17" s="14"/>
      <c r="F17" s="15"/>
      <c r="H17" s="36">
        <v>31</v>
      </c>
      <c r="I17" s="170">
        <v>45217</v>
      </c>
      <c r="J17" s="178">
        <v>21.95</v>
      </c>
      <c r="K17" s="14" t="s">
        <v>78</v>
      </c>
      <c r="L17" s="44">
        <f t="shared" si="2"/>
        <v>82.004555808656036</v>
      </c>
      <c r="M17" s="172">
        <v>1081</v>
      </c>
      <c r="O17" s="36">
        <v>54</v>
      </c>
      <c r="P17" s="43"/>
      <c r="Q17" s="44"/>
      <c r="R17" s="44"/>
      <c r="S17" s="14" t="e">
        <f t="shared" si="1"/>
        <v>#DIV/0!</v>
      </c>
      <c r="T17" s="47"/>
    </row>
    <row r="18" spans="1:20" ht="18" customHeight="1" x14ac:dyDescent="0.3">
      <c r="A18" s="36">
        <v>9</v>
      </c>
      <c r="B18" s="13"/>
      <c r="C18" s="14"/>
      <c r="D18" s="14"/>
      <c r="E18" s="14"/>
      <c r="F18" s="15"/>
      <c r="H18" s="36">
        <v>32</v>
      </c>
      <c r="I18" s="170">
        <v>45217</v>
      </c>
      <c r="J18" s="173">
        <v>25.01</v>
      </c>
      <c r="K18" s="14" t="s">
        <v>78</v>
      </c>
      <c r="L18" s="44">
        <f t="shared" si="2"/>
        <v>71.971211515393833</v>
      </c>
      <c r="M18" s="173">
        <v>1220</v>
      </c>
      <c r="O18" s="36">
        <v>55</v>
      </c>
      <c r="P18" s="43"/>
      <c r="Q18" s="44"/>
      <c r="R18" s="44"/>
      <c r="S18" s="14" t="e">
        <f t="shared" si="1"/>
        <v>#DIV/0!</v>
      </c>
      <c r="T18" s="47"/>
    </row>
    <row r="19" spans="1:20" ht="18" customHeight="1" thickBot="1" x14ac:dyDescent="0.35">
      <c r="A19" s="36">
        <v>10</v>
      </c>
      <c r="B19" s="13"/>
      <c r="C19" s="14"/>
      <c r="D19" s="14"/>
      <c r="E19" s="14"/>
      <c r="F19" s="15"/>
      <c r="H19" s="36">
        <v>33</v>
      </c>
      <c r="I19" s="171">
        <v>45217</v>
      </c>
      <c r="J19" s="189">
        <v>30.01</v>
      </c>
      <c r="K19" s="14" t="s">
        <v>78</v>
      </c>
      <c r="L19" s="44">
        <f t="shared" si="2"/>
        <v>59.980006664445185</v>
      </c>
      <c r="M19" s="190">
        <v>1942</v>
      </c>
      <c r="O19" s="36">
        <v>56</v>
      </c>
      <c r="P19" s="43"/>
      <c r="Q19" s="44"/>
      <c r="R19" s="44"/>
      <c r="S19" s="14" t="e">
        <f t="shared" si="1"/>
        <v>#DIV/0!</v>
      </c>
      <c r="T19" s="47"/>
    </row>
    <row r="20" spans="1:20" ht="18" customHeight="1" x14ac:dyDescent="0.3">
      <c r="A20" s="36">
        <v>11</v>
      </c>
      <c r="B20" s="13"/>
      <c r="C20" s="14"/>
      <c r="D20" s="14"/>
      <c r="E20" s="14"/>
      <c r="F20" s="15"/>
      <c r="H20" s="36">
        <v>34</v>
      </c>
      <c r="I20" s="13"/>
      <c r="J20" s="14"/>
      <c r="K20" s="14"/>
      <c r="L20" s="44"/>
      <c r="M20" s="47"/>
      <c r="O20" s="36">
        <v>57</v>
      </c>
      <c r="P20" s="43"/>
      <c r="Q20" s="44"/>
      <c r="R20" s="44"/>
      <c r="S20" s="14" t="e">
        <f t="shared" si="1"/>
        <v>#DIV/0!</v>
      </c>
      <c r="T20" s="47"/>
    </row>
    <row r="21" spans="1:20" ht="18" customHeight="1" x14ac:dyDescent="0.3">
      <c r="A21" s="36">
        <v>12</v>
      </c>
      <c r="B21" s="13"/>
      <c r="C21" s="14"/>
      <c r="D21" s="14"/>
      <c r="E21" s="14"/>
      <c r="F21" s="15"/>
      <c r="H21" s="36">
        <v>35</v>
      </c>
      <c r="I21" s="13"/>
      <c r="J21" s="14"/>
      <c r="K21" s="14"/>
      <c r="L21" s="44"/>
      <c r="M21" s="47"/>
      <c r="O21" s="36">
        <v>58</v>
      </c>
      <c r="P21" s="43"/>
      <c r="Q21" s="44"/>
      <c r="R21" s="44"/>
      <c r="S21" s="14" t="e">
        <f t="shared" si="1"/>
        <v>#DIV/0!</v>
      </c>
      <c r="T21" s="47"/>
    </row>
    <row r="22" spans="1:20" ht="18" customHeight="1" x14ac:dyDescent="0.3">
      <c r="A22" s="36">
        <v>13</v>
      </c>
      <c r="B22" s="13"/>
      <c r="C22" s="14"/>
      <c r="D22" s="14"/>
      <c r="E22" s="14"/>
      <c r="F22" s="15"/>
      <c r="H22" s="36">
        <v>36</v>
      </c>
      <c r="I22" s="13"/>
      <c r="J22" s="14"/>
      <c r="K22" s="14"/>
      <c r="L22" s="44"/>
      <c r="M22" s="47"/>
      <c r="O22" s="36">
        <v>59</v>
      </c>
      <c r="P22" s="43"/>
      <c r="Q22" s="44"/>
      <c r="R22" s="44"/>
      <c r="S22" s="14" t="e">
        <f t="shared" si="1"/>
        <v>#DIV/0!</v>
      </c>
      <c r="T22" s="47"/>
    </row>
    <row r="23" spans="1:20" ht="18" customHeight="1" x14ac:dyDescent="0.3">
      <c r="A23" s="36">
        <v>14</v>
      </c>
      <c r="B23" s="13"/>
      <c r="C23" s="14"/>
      <c r="D23" s="14"/>
      <c r="E23" s="14"/>
      <c r="F23" s="15"/>
      <c r="H23" s="36">
        <v>37</v>
      </c>
      <c r="I23" s="13"/>
      <c r="J23" s="14"/>
      <c r="K23" s="14"/>
      <c r="L23" s="44"/>
      <c r="M23" s="47"/>
      <c r="O23" s="36">
        <v>60</v>
      </c>
      <c r="P23" s="43"/>
      <c r="Q23" s="44"/>
      <c r="R23" s="44"/>
      <c r="S23" s="14" t="e">
        <f t="shared" si="1"/>
        <v>#DIV/0!</v>
      </c>
      <c r="T23" s="47"/>
    </row>
    <row r="24" spans="1:20" ht="18" customHeight="1" x14ac:dyDescent="0.3">
      <c r="A24" s="36">
        <v>15</v>
      </c>
      <c r="B24" s="13"/>
      <c r="C24" s="14"/>
      <c r="D24" s="14"/>
      <c r="E24" s="14"/>
      <c r="F24" s="15"/>
      <c r="H24" s="36">
        <v>38</v>
      </c>
      <c r="I24" s="13"/>
      <c r="J24" s="14"/>
      <c r="K24" s="14"/>
      <c r="L24" s="44"/>
      <c r="M24" s="47"/>
      <c r="O24" s="36">
        <v>61</v>
      </c>
      <c r="P24" s="43"/>
      <c r="Q24" s="44"/>
      <c r="R24" s="44"/>
      <c r="S24" s="14" t="e">
        <f t="shared" si="1"/>
        <v>#DIV/0!</v>
      </c>
      <c r="T24" s="47"/>
    </row>
    <row r="25" spans="1:20" ht="18" customHeight="1" x14ac:dyDescent="0.3">
      <c r="A25" s="36">
        <v>16</v>
      </c>
      <c r="B25" s="13"/>
      <c r="C25" s="14"/>
      <c r="D25" s="14"/>
      <c r="E25" s="14"/>
      <c r="F25" s="15"/>
      <c r="H25" s="36">
        <v>39</v>
      </c>
      <c r="I25" s="13"/>
      <c r="J25" s="14"/>
      <c r="K25" s="14"/>
      <c r="L25" s="44"/>
      <c r="M25" s="47"/>
      <c r="O25" s="36">
        <v>62</v>
      </c>
      <c r="P25" s="43"/>
      <c r="Q25" s="44"/>
      <c r="R25" s="44"/>
      <c r="S25" s="14" t="e">
        <f t="shared" si="1"/>
        <v>#DIV/0!</v>
      </c>
      <c r="T25" s="47"/>
    </row>
    <row r="26" spans="1:20" ht="18" customHeight="1" x14ac:dyDescent="0.3">
      <c r="A26" s="36">
        <v>17</v>
      </c>
      <c r="B26" s="13"/>
      <c r="C26" s="14"/>
      <c r="D26" s="14"/>
      <c r="E26" s="14"/>
      <c r="F26" s="15"/>
      <c r="H26" s="36">
        <v>40</v>
      </c>
      <c r="I26" s="13"/>
      <c r="J26" s="14"/>
      <c r="K26" s="14"/>
      <c r="L26" s="44"/>
      <c r="M26" s="47"/>
      <c r="O26" s="36">
        <v>63</v>
      </c>
      <c r="P26" s="43"/>
      <c r="Q26" s="44"/>
      <c r="R26" s="44"/>
      <c r="S26" s="14" t="e">
        <f t="shared" si="1"/>
        <v>#DIV/0!</v>
      </c>
      <c r="T26" s="47"/>
    </row>
    <row r="27" spans="1:20" ht="18" customHeight="1" x14ac:dyDescent="0.3">
      <c r="A27" s="36">
        <v>18</v>
      </c>
      <c r="B27" s="13"/>
      <c r="C27" s="14"/>
      <c r="D27" s="14"/>
      <c r="E27" s="14"/>
      <c r="F27" s="15"/>
      <c r="H27" s="36">
        <v>41</v>
      </c>
      <c r="I27" s="13"/>
      <c r="J27" s="14"/>
      <c r="K27" s="14"/>
      <c r="L27" s="44"/>
      <c r="M27" s="47"/>
      <c r="O27" s="36">
        <v>64</v>
      </c>
      <c r="P27" s="43"/>
      <c r="Q27" s="44"/>
      <c r="R27" s="44"/>
      <c r="S27" s="14" t="e">
        <f t="shared" si="1"/>
        <v>#DIV/0!</v>
      </c>
      <c r="T27" s="47"/>
    </row>
    <row r="28" spans="1:20" ht="18" customHeight="1" x14ac:dyDescent="0.3">
      <c r="A28" s="36">
        <v>19</v>
      </c>
      <c r="B28" s="13"/>
      <c r="C28" s="14"/>
      <c r="D28" s="14"/>
      <c r="E28" s="14"/>
      <c r="F28" s="15"/>
      <c r="H28" s="36">
        <v>42</v>
      </c>
      <c r="I28" s="13"/>
      <c r="J28" s="14"/>
      <c r="K28" s="14"/>
      <c r="L28" s="44"/>
      <c r="M28" s="47"/>
      <c r="O28" s="36">
        <v>65</v>
      </c>
      <c r="P28" s="43"/>
      <c r="Q28" s="44"/>
      <c r="R28" s="44"/>
      <c r="S28" s="14" t="e">
        <f t="shared" si="1"/>
        <v>#DIV/0!</v>
      </c>
      <c r="T28" s="47"/>
    </row>
    <row r="29" spans="1:20" ht="18" customHeight="1" x14ac:dyDescent="0.3">
      <c r="A29" s="36">
        <v>20</v>
      </c>
      <c r="B29" s="13"/>
      <c r="C29" s="14"/>
      <c r="D29" s="14"/>
      <c r="E29" s="14"/>
      <c r="F29" s="15"/>
      <c r="H29" s="36">
        <v>43</v>
      </c>
      <c r="I29" s="13"/>
      <c r="J29" s="14"/>
      <c r="K29" s="14"/>
      <c r="L29" s="44"/>
      <c r="M29" s="47"/>
      <c r="O29" s="36">
        <v>66</v>
      </c>
      <c r="P29" s="43"/>
      <c r="Q29" s="44"/>
      <c r="R29" s="44"/>
      <c r="S29" s="14" t="e">
        <f t="shared" si="1"/>
        <v>#DIV/0!</v>
      </c>
      <c r="T29" s="47"/>
    </row>
    <row r="30" spans="1:20" ht="18" customHeight="1" x14ac:dyDescent="0.3">
      <c r="A30" s="36">
        <v>21</v>
      </c>
      <c r="B30" s="13"/>
      <c r="C30" s="14"/>
      <c r="D30" s="14"/>
      <c r="E30" s="14"/>
      <c r="F30" s="15"/>
      <c r="H30" s="36">
        <v>44</v>
      </c>
      <c r="I30" s="13"/>
      <c r="J30" s="14"/>
      <c r="K30" s="14"/>
      <c r="L30" s="44"/>
      <c r="M30" s="47"/>
      <c r="O30" s="36">
        <v>67</v>
      </c>
      <c r="P30" s="43"/>
      <c r="Q30" s="44"/>
      <c r="R30" s="44"/>
      <c r="S30" s="14" t="e">
        <f t="shared" si="1"/>
        <v>#DIV/0!</v>
      </c>
      <c r="T30" s="47"/>
    </row>
    <row r="31" spans="1:20" ht="18" customHeight="1" x14ac:dyDescent="0.3">
      <c r="A31" s="36">
        <v>22</v>
      </c>
      <c r="B31" s="13"/>
      <c r="C31" s="14"/>
      <c r="D31" s="14"/>
      <c r="E31" s="14"/>
      <c r="F31" s="15"/>
      <c r="H31" s="36">
        <v>45</v>
      </c>
      <c r="I31" s="13"/>
      <c r="J31" s="14"/>
      <c r="K31" s="14"/>
      <c r="L31" s="44"/>
      <c r="M31" s="47"/>
      <c r="O31" s="36">
        <v>68</v>
      </c>
      <c r="P31" s="43"/>
      <c r="Q31" s="44"/>
      <c r="R31" s="44"/>
      <c r="S31" s="14" t="e">
        <f t="shared" si="1"/>
        <v>#DIV/0!</v>
      </c>
      <c r="T31" s="47"/>
    </row>
    <row r="32" spans="1:20" ht="18" customHeight="1" thickBot="1" x14ac:dyDescent="0.35">
      <c r="A32" s="37">
        <v>23</v>
      </c>
      <c r="B32" s="16"/>
      <c r="C32" s="17"/>
      <c r="D32" s="17"/>
      <c r="E32" s="14"/>
      <c r="F32" s="18"/>
      <c r="H32" s="36">
        <v>46</v>
      </c>
      <c r="I32" s="16"/>
      <c r="J32" s="19"/>
      <c r="K32" s="19"/>
      <c r="L32" s="44"/>
      <c r="M32" s="48"/>
      <c r="O32" s="36">
        <v>69</v>
      </c>
      <c r="P32" s="45"/>
      <c r="Q32" s="46"/>
      <c r="R32" s="46"/>
      <c r="S32" s="14" t="e">
        <f t="shared" si="1"/>
        <v>#DIV/0!</v>
      </c>
      <c r="T32" s="48"/>
    </row>
    <row r="33" spans="1:20" x14ac:dyDescent="0.3">
      <c r="A33" s="6"/>
      <c r="C33" s="139" t="s">
        <v>14</v>
      </c>
      <c r="D33" s="140"/>
      <c r="E33" s="9">
        <f>SUM(E10:E11)</f>
        <v>402.79795897678508</v>
      </c>
      <c r="J33" s="139" t="s">
        <v>14</v>
      </c>
      <c r="K33" s="140"/>
      <c r="L33" s="83">
        <f>SUM(L10:L19)</f>
        <v>752.51691753490138</v>
      </c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20">
        <f>IFERROR(ROUND(AVERAGE(E10:E32),0),"")</f>
        <v>201</v>
      </c>
      <c r="J34" s="143" t="s">
        <v>15</v>
      </c>
      <c r="K34" s="144"/>
      <c r="L34" s="80">
        <f>IFERROR(ROUND(AVERAGE(L10:L32),0),"")</f>
        <v>75</v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6.2" thickBot="1" x14ac:dyDescent="0.35">
      <c r="A36" s="21"/>
      <c r="C36" s="145" t="s">
        <v>16</v>
      </c>
      <c r="D36" s="146"/>
      <c r="E36" s="147"/>
      <c r="H36" s="39" t="s">
        <v>17</v>
      </c>
      <c r="I36" s="51">
        <v>11200</v>
      </c>
      <c r="J36" s="22" t="s">
        <v>18</v>
      </c>
      <c r="L36" s="84"/>
      <c r="T36" s="8"/>
    </row>
    <row r="37" spans="1:20" ht="15.6" x14ac:dyDescent="0.3">
      <c r="A37" s="24"/>
      <c r="C37" s="25" t="s">
        <v>19</v>
      </c>
      <c r="D37" s="183">
        <v>0.3</v>
      </c>
      <c r="E37" s="26" t="s">
        <v>20</v>
      </c>
      <c r="H37" s="40" t="s">
        <v>21</v>
      </c>
      <c r="I37" s="44">
        <v>1440</v>
      </c>
      <c r="J37" s="27" t="s">
        <v>18</v>
      </c>
      <c r="L37" s="85"/>
      <c r="T37" s="8"/>
    </row>
    <row r="38" spans="1:20" ht="15.6" x14ac:dyDescent="0.3">
      <c r="A38" s="6"/>
      <c r="C38" s="25" t="s">
        <v>19</v>
      </c>
      <c r="D38" s="173">
        <v>5.01</v>
      </c>
      <c r="E38" s="26" t="s">
        <v>20</v>
      </c>
      <c r="H38" s="40" t="s">
        <v>23</v>
      </c>
      <c r="I38" s="44">
        <v>6.8</v>
      </c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173">
        <v>4.5</v>
      </c>
      <c r="E39" s="26" t="s">
        <v>20</v>
      </c>
      <c r="H39" s="40" t="s">
        <v>26</v>
      </c>
      <c r="I39" s="44">
        <v>36.799999999999997</v>
      </c>
      <c r="J39" s="27" t="s">
        <v>27</v>
      </c>
      <c r="T39" s="8"/>
    </row>
    <row r="40" spans="1:20" ht="15.6" x14ac:dyDescent="0.3">
      <c r="A40" s="6"/>
      <c r="C40" s="25" t="s">
        <v>25</v>
      </c>
      <c r="D40" s="173">
        <v>4.2</v>
      </c>
      <c r="E40" s="26" t="s">
        <v>20</v>
      </c>
      <c r="H40" s="40" t="s">
        <v>29</v>
      </c>
      <c r="I40" s="44">
        <v>402</v>
      </c>
      <c r="J40" s="27" t="s">
        <v>30</v>
      </c>
      <c r="T40" s="8"/>
    </row>
    <row r="41" spans="1:20" ht="15.6" x14ac:dyDescent="0.3">
      <c r="A41" s="6"/>
      <c r="C41" s="25" t="s">
        <v>28</v>
      </c>
      <c r="D41" s="173">
        <v>58</v>
      </c>
      <c r="E41" s="26" t="s">
        <v>20</v>
      </c>
      <c r="H41" s="40" t="s">
        <v>32</v>
      </c>
      <c r="I41" s="44">
        <v>752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173">
        <v>59</v>
      </c>
      <c r="E42" s="26" t="s">
        <v>20</v>
      </c>
      <c r="H42" s="40" t="s">
        <v>48</v>
      </c>
      <c r="I42" s="44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173">
        <v>56</v>
      </c>
      <c r="E43" s="26" t="s">
        <v>20</v>
      </c>
      <c r="H43" s="40" t="s">
        <v>37</v>
      </c>
      <c r="I43" s="44">
        <v>1154</v>
      </c>
      <c r="J43" s="27" t="s">
        <v>30</v>
      </c>
      <c r="T43" s="8"/>
    </row>
    <row r="44" spans="1:20" ht="15.6" x14ac:dyDescent="0.3">
      <c r="A44" s="6"/>
      <c r="C44" s="25" t="s">
        <v>41</v>
      </c>
      <c r="D44" s="173">
        <v>0</v>
      </c>
      <c r="E44" s="26" t="s">
        <v>20</v>
      </c>
      <c r="H44" s="40" t="s">
        <v>42</v>
      </c>
      <c r="I44" s="44">
        <v>18240</v>
      </c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184">
        <v>0</v>
      </c>
      <c r="E45" s="30" t="s">
        <v>20</v>
      </c>
      <c r="F45" s="32"/>
      <c r="G45" s="32"/>
      <c r="H45" s="40" t="s">
        <v>44</v>
      </c>
      <c r="I45" s="44">
        <v>2.5</v>
      </c>
      <c r="J45" s="27" t="s">
        <v>45</v>
      </c>
      <c r="K45" s="32"/>
      <c r="L45" s="42"/>
      <c r="M45" s="4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>
        <v>1.1000000000000001</v>
      </c>
      <c r="J46" s="33" t="s">
        <v>45</v>
      </c>
    </row>
  </sheetData>
  <mergeCells count="23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3:D33"/>
    <mergeCell ref="J33:K33"/>
    <mergeCell ref="Q33:R33"/>
    <mergeCell ref="C12:F12"/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</mergeCells>
  <conditionalFormatting sqref="M13:M17 M19">
    <cfRule type="cellIs" dxfId="4" priority="1" stopIfTrue="1" operator="greaterThan">
      <formula>2500</formula>
    </cfRule>
  </conditionalFormatting>
  <dataValidations count="9">
    <dataValidation type="whole" operator="greaterThanOrEqual" showErrorMessage="1" errorTitle="Plant SR No" error="Plant SR No must be a whole number &gt;= 1." sqref="C4" xr:uid="{DEBE29CF-571E-4D5A-BEEF-28C02E15AEC6}">
      <formula1>1</formula1>
    </dataValidation>
    <dataValidation type="decimal" operator="greaterThanOrEqual" allowBlank="1" showErrorMessage="1" errorTitle="Value" error="Value must be a number &gt;= 0." sqref="I36:I46 D37:D45" xr:uid="{151C4A73-AAD0-4141-899C-82009E59A6C4}">
      <formula1>0</formula1>
    </dataValidation>
    <dataValidation type="decimal" allowBlank="1" showErrorMessage="1" errorTitle="Conductivity" error="Conductivity must be 0..50000 us/cm." sqref="M10:M32 T10:T32 F10:F11 F13:F32" xr:uid="{965DDD4B-E723-478E-843A-4127048882C2}">
      <formula1>0</formula1>
      <formula2>50000</formula2>
    </dataValidation>
    <dataValidation type="decimal" operator="greaterThanOrEqual" allowBlank="1" showErrorMessage="1" errorTitle="Flow" error="Flow must be a number &gt;= 0." sqref="S10:S32 J10:J32 Q10:Q32 L10:L32 C10:C32 E10:E11 E13:E32" xr:uid="{DDB7F197-3A6C-4C86-822E-8E16F09CFDB9}">
      <formula1>0</formula1>
    </dataValidation>
    <dataValidation type="date" operator="greaterThan" allowBlank="1" showErrorMessage="1" errorTitle="Date" error="Enter a real date." sqref="B10:B32 I3 I10:I32 P10:P32" xr:uid="{BEFFDFE1-BE5F-447E-895A-9507B671D04A}">
      <formula1>DATE(2000,1,1)</formula1>
    </dataValidation>
    <dataValidation type="whole" operator="greaterThanOrEqual" allowBlank="1" showErrorMessage="1" errorTitle="Module no." error="Module number must be a whole number &gt;= 1." sqref="A10:A32 H10:H32 O10:O32" xr:uid="{9C33EE8E-A8AF-4776-B760-1EC780268DBD}">
      <formula1>1</formula1>
    </dataValidation>
    <dataValidation type="list" allowBlank="1" sqref="K10:K32 R10:R32 D10:D11 D13:D32" xr:uid="{50BD1996-8D26-4387-81EB-73A2C1B02153}">
      <formula1>"Non Colour,Colour"</formula1>
    </dataValidation>
    <dataValidation type="list" showErrorMessage="1" errorTitle="Zone" error="Pick a zone from the list." sqref="C5" xr:uid="{90839D75-639A-4FE3-A755-816DE6BB35CA}">
      <formula1>"Ahmedabad,Vadodara,Ankleshwar,Panoli,Jhagadia,Dahej,Vapi"</formula1>
    </dataValidation>
    <dataValidation type="list" allowBlank="1" showErrorMessage="1" errorTitle="Stage" error="Pick the stage from the list." sqref="A8 H8 O8" xr:uid="{392C3C02-595D-4BA9-A41F-B1B84B6586F9}">
      <formula1>"I STAGE,II STAGE,III STAGE,IV STAGE"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3A2C-25FF-46E2-8720-05531B48D38D}">
  <dimension ref="A1:U46"/>
  <sheetViews>
    <sheetView workbookViewId="0">
      <selection activeCell="F21" sqref="F21"/>
    </sheetView>
  </sheetViews>
  <sheetFormatPr defaultColWidth="9.109375" defaultRowHeight="14.4" x14ac:dyDescent="0.3"/>
  <cols>
    <col min="1" max="1" width="8.6640625" style="7" customWidth="1"/>
    <col min="2" max="2" width="9.6640625" style="7" customWidth="1"/>
    <col min="3" max="3" width="13" style="7" customWidth="1"/>
    <col min="4" max="4" width="10.109375" style="7" bestFit="1" customWidth="1"/>
    <col min="5" max="5" width="8.6640625" style="7" customWidth="1"/>
    <col min="6" max="6" width="10.6640625" style="7" customWidth="1"/>
    <col min="7" max="7" width="2" style="7" customWidth="1"/>
    <col min="8" max="8" width="14" style="38" customWidth="1"/>
    <col min="9" max="9" width="9.6640625" style="7" customWidth="1"/>
    <col min="10" max="10" width="13" style="7" customWidth="1"/>
    <col min="11" max="11" width="10.109375" style="7" bestFit="1" customWidth="1"/>
    <col min="12" max="12" width="8.6640625" style="38" customWidth="1"/>
    <col min="13" max="13" width="10.6640625" style="7" customWidth="1"/>
    <col min="14" max="14" width="2" style="7" customWidth="1"/>
    <col min="15" max="15" width="8.6640625" style="38" customWidth="1"/>
    <col min="16" max="16" width="9.664062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84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85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83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50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10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194">
        <v>45383</v>
      </c>
      <c r="C10" s="195">
        <v>12.85</v>
      </c>
      <c r="D10" s="14" t="s">
        <v>78</v>
      </c>
      <c r="E10" s="44">
        <f>1800/C10</f>
        <v>140.07782101167317</v>
      </c>
      <c r="F10" s="195">
        <v>140</v>
      </c>
      <c r="H10" s="36">
        <v>24</v>
      </c>
      <c r="I10" s="194">
        <v>45390</v>
      </c>
      <c r="J10" s="195">
        <v>15.51</v>
      </c>
      <c r="K10" s="14" t="s">
        <v>78</v>
      </c>
      <c r="L10" s="44">
        <f>1800/J10</f>
        <v>116.0541586073501</v>
      </c>
      <c r="M10" s="195">
        <v>470</v>
      </c>
      <c r="O10" s="36">
        <v>47</v>
      </c>
      <c r="P10" s="43"/>
      <c r="Q10" s="44"/>
      <c r="R10" s="44"/>
      <c r="S10" s="14" t="e">
        <f>3600/Q10</f>
        <v>#DIV/0!</v>
      </c>
      <c r="T10" s="47"/>
    </row>
    <row r="11" spans="1:21" ht="18" customHeight="1" x14ac:dyDescent="0.3">
      <c r="A11" s="36">
        <v>2</v>
      </c>
      <c r="B11" s="194">
        <v>45384</v>
      </c>
      <c r="C11" s="195">
        <v>13.04</v>
      </c>
      <c r="D11" s="14" t="s">
        <v>78</v>
      </c>
      <c r="E11" s="44">
        <f t="shared" ref="E11:E17" si="0">1800/C11</f>
        <v>138.03680981595093</v>
      </c>
      <c r="F11" s="195">
        <v>138</v>
      </c>
      <c r="H11" s="36">
        <v>25</v>
      </c>
      <c r="I11" s="194">
        <v>45391</v>
      </c>
      <c r="J11" s="195">
        <v>17.47</v>
      </c>
      <c r="K11" s="14" t="s">
        <v>78</v>
      </c>
      <c r="L11" s="44">
        <f t="shared" ref="L11:L27" si="1">1800/J11</f>
        <v>103.03377218088151</v>
      </c>
      <c r="M11" s="195">
        <v>510</v>
      </c>
      <c r="O11" s="36">
        <v>48</v>
      </c>
      <c r="P11" s="43"/>
      <c r="Q11" s="44"/>
      <c r="R11" s="44"/>
      <c r="S11" s="14" t="e">
        <f t="shared" ref="S11:S32" si="2">3600/Q11</f>
        <v>#DIV/0!</v>
      </c>
      <c r="T11" s="47"/>
    </row>
    <row r="12" spans="1:21" ht="18" customHeight="1" x14ac:dyDescent="0.3">
      <c r="A12" s="36">
        <v>3</v>
      </c>
      <c r="B12" s="194">
        <v>45385</v>
      </c>
      <c r="C12" s="195">
        <v>14.06</v>
      </c>
      <c r="D12" s="14" t="s">
        <v>78</v>
      </c>
      <c r="E12" s="44">
        <f t="shared" si="0"/>
        <v>128.02275960170695</v>
      </c>
      <c r="F12" s="195">
        <v>128</v>
      </c>
      <c r="H12" s="36">
        <v>26</v>
      </c>
      <c r="I12" s="194">
        <v>45392</v>
      </c>
      <c r="J12" s="195">
        <v>13.33</v>
      </c>
      <c r="K12" s="14" t="s">
        <v>78</v>
      </c>
      <c r="L12" s="44">
        <f t="shared" si="1"/>
        <v>135.0337584396099</v>
      </c>
      <c r="M12" s="195">
        <v>478</v>
      </c>
      <c r="O12" s="36">
        <v>49</v>
      </c>
      <c r="P12" s="43"/>
      <c r="Q12" s="44"/>
      <c r="R12" s="44"/>
      <c r="S12" s="14" t="e">
        <f t="shared" si="2"/>
        <v>#DIV/0!</v>
      </c>
      <c r="T12" s="47"/>
    </row>
    <row r="13" spans="1:21" ht="18" customHeight="1" x14ac:dyDescent="0.3">
      <c r="A13" s="36">
        <v>4</v>
      </c>
      <c r="B13" s="194">
        <v>45386</v>
      </c>
      <c r="C13" s="195">
        <v>13.63</v>
      </c>
      <c r="D13" s="14" t="s">
        <v>78</v>
      </c>
      <c r="E13" s="44">
        <f t="shared" si="0"/>
        <v>132.06162876008804</v>
      </c>
      <c r="F13" s="195">
        <v>132</v>
      </c>
      <c r="H13" s="36">
        <v>27</v>
      </c>
      <c r="I13" s="194">
        <v>45393</v>
      </c>
      <c r="J13" s="195">
        <v>15.01</v>
      </c>
      <c r="K13" s="14" t="s">
        <v>78</v>
      </c>
      <c r="L13" s="44">
        <f t="shared" si="1"/>
        <v>119.92005329780147</v>
      </c>
      <c r="M13" s="195">
        <v>399</v>
      </c>
      <c r="O13" s="36">
        <v>50</v>
      </c>
      <c r="P13" s="43"/>
      <c r="Q13" s="44"/>
      <c r="R13" s="44"/>
      <c r="S13" s="14" t="e">
        <f t="shared" si="2"/>
        <v>#DIV/0!</v>
      </c>
      <c r="T13" s="47"/>
    </row>
    <row r="14" spans="1:21" ht="18" customHeight="1" x14ac:dyDescent="0.3">
      <c r="A14" s="36">
        <v>5</v>
      </c>
      <c r="B14" s="194">
        <v>45387</v>
      </c>
      <c r="C14" s="195">
        <v>13.13</v>
      </c>
      <c r="D14" s="14" t="s">
        <v>78</v>
      </c>
      <c r="E14" s="44">
        <f t="shared" si="0"/>
        <v>137.09063214013707</v>
      </c>
      <c r="F14" s="196">
        <v>137</v>
      </c>
      <c r="H14" s="36">
        <v>28</v>
      </c>
      <c r="I14" s="194">
        <v>45394</v>
      </c>
      <c r="J14" s="195">
        <v>16.510000000000002</v>
      </c>
      <c r="K14" s="14" t="s">
        <v>78</v>
      </c>
      <c r="L14" s="44">
        <f t="shared" si="1"/>
        <v>109.02483343428224</v>
      </c>
      <c r="M14" s="195">
        <v>402</v>
      </c>
      <c r="O14" s="36">
        <v>51</v>
      </c>
      <c r="P14" s="43"/>
      <c r="Q14" s="44"/>
      <c r="R14" s="44"/>
      <c r="S14" s="14" t="e">
        <f t="shared" si="2"/>
        <v>#DIV/0!</v>
      </c>
      <c r="T14" s="53"/>
      <c r="U14" s="52"/>
    </row>
    <row r="15" spans="1:21" ht="18" customHeight="1" x14ac:dyDescent="0.3">
      <c r="A15" s="36">
        <v>6</v>
      </c>
      <c r="B15" s="194">
        <v>45388</v>
      </c>
      <c r="C15" s="195">
        <v>13.43</v>
      </c>
      <c r="D15" s="14" t="s">
        <v>78</v>
      </c>
      <c r="E15" s="44">
        <f t="shared" si="0"/>
        <v>134.02829486224869</v>
      </c>
      <c r="F15" s="195">
        <v>134</v>
      </c>
      <c r="H15" s="36">
        <v>29</v>
      </c>
      <c r="I15" s="194">
        <v>45395</v>
      </c>
      <c r="J15" s="195">
        <v>12.67</v>
      </c>
      <c r="K15" s="14" t="s">
        <v>78</v>
      </c>
      <c r="L15" s="44">
        <f t="shared" si="1"/>
        <v>142.06787687450671</v>
      </c>
      <c r="M15" s="195">
        <v>378</v>
      </c>
      <c r="O15" s="36">
        <v>52</v>
      </c>
      <c r="P15" s="43"/>
      <c r="Q15" s="44"/>
      <c r="R15" s="44"/>
      <c r="S15" s="14" t="e">
        <f t="shared" si="2"/>
        <v>#DIV/0!</v>
      </c>
      <c r="T15" s="47"/>
    </row>
    <row r="16" spans="1:21" ht="18" customHeight="1" x14ac:dyDescent="0.3">
      <c r="A16" s="36">
        <v>7</v>
      </c>
      <c r="B16" s="194">
        <v>45389</v>
      </c>
      <c r="C16" s="195">
        <v>11.84</v>
      </c>
      <c r="D16" s="14" t="s">
        <v>78</v>
      </c>
      <c r="E16" s="44">
        <f t="shared" si="0"/>
        <v>152.02702702702703</v>
      </c>
      <c r="F16" s="195">
        <v>152</v>
      </c>
      <c r="H16" s="36">
        <v>30</v>
      </c>
      <c r="I16" s="194">
        <v>45396</v>
      </c>
      <c r="J16" s="195">
        <v>16.21</v>
      </c>
      <c r="K16" s="14" t="s">
        <v>78</v>
      </c>
      <c r="L16" s="44">
        <f t="shared" si="1"/>
        <v>111.04256631708822</v>
      </c>
      <c r="M16" s="195">
        <v>488</v>
      </c>
      <c r="O16" s="36">
        <v>53</v>
      </c>
      <c r="P16" s="43"/>
      <c r="Q16" s="44"/>
      <c r="R16" s="44"/>
      <c r="S16" s="14" t="e">
        <f t="shared" si="2"/>
        <v>#DIV/0!</v>
      </c>
      <c r="T16" s="47"/>
    </row>
    <row r="17" spans="1:20" ht="18" customHeight="1" x14ac:dyDescent="0.3">
      <c r="A17" s="36">
        <v>8</v>
      </c>
      <c r="B17" s="194">
        <v>45390</v>
      </c>
      <c r="C17" s="195">
        <v>13.04</v>
      </c>
      <c r="D17" s="14" t="s">
        <v>78</v>
      </c>
      <c r="E17" s="44">
        <f t="shared" si="0"/>
        <v>138.03680981595093</v>
      </c>
      <c r="F17" s="195">
        <v>138</v>
      </c>
      <c r="H17" s="36">
        <v>31</v>
      </c>
      <c r="I17" s="194">
        <v>45397</v>
      </c>
      <c r="J17" s="195">
        <v>17.47</v>
      </c>
      <c r="K17" s="14" t="s">
        <v>78</v>
      </c>
      <c r="L17" s="44">
        <f t="shared" si="1"/>
        <v>103.03377218088151</v>
      </c>
      <c r="M17" s="195">
        <v>397</v>
      </c>
      <c r="O17" s="36">
        <v>54</v>
      </c>
      <c r="P17" s="43"/>
      <c r="Q17" s="44"/>
      <c r="R17" s="44"/>
      <c r="S17" s="14" t="e">
        <f t="shared" si="2"/>
        <v>#DIV/0!</v>
      </c>
      <c r="T17" s="47"/>
    </row>
    <row r="18" spans="1:20" ht="18" customHeight="1" x14ac:dyDescent="0.3">
      <c r="A18" s="36">
        <v>9</v>
      </c>
      <c r="B18" s="13"/>
      <c r="C18" s="14"/>
      <c r="D18" s="14"/>
      <c r="E18" s="14"/>
      <c r="F18" s="15"/>
      <c r="H18" s="36">
        <v>32</v>
      </c>
      <c r="I18" s="194">
        <v>45398</v>
      </c>
      <c r="J18" s="195">
        <v>16.36</v>
      </c>
      <c r="K18" s="14" t="s">
        <v>78</v>
      </c>
      <c r="L18" s="44">
        <f t="shared" si="1"/>
        <v>110.02444987775061</v>
      </c>
      <c r="M18" s="195">
        <v>392</v>
      </c>
      <c r="O18" s="36">
        <v>55</v>
      </c>
      <c r="P18" s="43"/>
      <c r="Q18" s="44"/>
      <c r="R18" s="44"/>
      <c r="S18" s="14" t="e">
        <f t="shared" si="2"/>
        <v>#DIV/0!</v>
      </c>
      <c r="T18" s="47"/>
    </row>
    <row r="19" spans="1:20" ht="18" customHeight="1" x14ac:dyDescent="0.3">
      <c r="A19" s="36">
        <v>10</v>
      </c>
      <c r="B19" s="13"/>
      <c r="C19" s="14"/>
      <c r="D19" s="14"/>
      <c r="E19" s="14"/>
      <c r="F19" s="15"/>
      <c r="H19" s="36">
        <v>33</v>
      </c>
      <c r="I19" s="194">
        <v>45399</v>
      </c>
      <c r="J19" s="195">
        <v>16.07</v>
      </c>
      <c r="K19" s="14" t="s">
        <v>78</v>
      </c>
      <c r="L19" s="44">
        <f t="shared" si="1"/>
        <v>112.00995644057249</v>
      </c>
      <c r="M19" s="195">
        <v>388</v>
      </c>
      <c r="O19" s="36">
        <v>56</v>
      </c>
      <c r="P19" s="43"/>
      <c r="Q19" s="44"/>
      <c r="R19" s="44"/>
      <c r="S19" s="14" t="e">
        <f t="shared" si="2"/>
        <v>#DIV/0!</v>
      </c>
      <c r="T19" s="47"/>
    </row>
    <row r="20" spans="1:20" ht="18" customHeight="1" x14ac:dyDescent="0.3">
      <c r="A20" s="36">
        <v>11</v>
      </c>
      <c r="B20" s="13"/>
      <c r="C20" s="14"/>
      <c r="D20" s="14"/>
      <c r="E20" s="14"/>
      <c r="F20" s="15"/>
      <c r="H20" s="36">
        <v>34</v>
      </c>
      <c r="I20" s="194">
        <v>45400</v>
      </c>
      <c r="J20" s="195">
        <v>14.06</v>
      </c>
      <c r="K20" s="14" t="s">
        <v>78</v>
      </c>
      <c r="L20" s="44">
        <f t="shared" si="1"/>
        <v>128.02275960170695</v>
      </c>
      <c r="M20" s="195">
        <v>379</v>
      </c>
      <c r="O20" s="36">
        <v>57</v>
      </c>
      <c r="P20" s="43"/>
      <c r="Q20" s="44"/>
      <c r="R20" s="44"/>
      <c r="S20" s="14" t="e">
        <f t="shared" si="2"/>
        <v>#DIV/0!</v>
      </c>
      <c r="T20" s="47"/>
    </row>
    <row r="21" spans="1:20" ht="18" customHeight="1" x14ac:dyDescent="0.3">
      <c r="A21" s="36">
        <v>12</v>
      </c>
      <c r="B21" s="13"/>
      <c r="C21" s="14"/>
      <c r="D21" s="14"/>
      <c r="E21" s="14"/>
      <c r="F21" s="15"/>
      <c r="H21" s="36">
        <v>35</v>
      </c>
      <c r="I21" s="194">
        <v>45401</v>
      </c>
      <c r="J21" s="195">
        <v>17.64</v>
      </c>
      <c r="K21" s="14" t="s">
        <v>78</v>
      </c>
      <c r="L21" s="44">
        <f t="shared" si="1"/>
        <v>102.0408163265306</v>
      </c>
      <c r="M21" s="195">
        <v>401</v>
      </c>
      <c r="O21" s="36">
        <v>58</v>
      </c>
      <c r="P21" s="43"/>
      <c r="Q21" s="44"/>
      <c r="R21" s="44"/>
      <c r="S21" s="14" t="e">
        <f t="shared" si="2"/>
        <v>#DIV/0!</v>
      </c>
      <c r="T21" s="47"/>
    </row>
    <row r="22" spans="1:20" ht="18" customHeight="1" x14ac:dyDescent="0.3">
      <c r="A22" s="36">
        <v>13</v>
      </c>
      <c r="B22" s="13"/>
      <c r="C22" s="14"/>
      <c r="D22" s="14"/>
      <c r="E22" s="14"/>
      <c r="F22" s="15"/>
      <c r="H22" s="36">
        <v>36</v>
      </c>
      <c r="I22" s="194">
        <v>45402</v>
      </c>
      <c r="J22" s="195">
        <v>12.16</v>
      </c>
      <c r="K22" s="14" t="s">
        <v>78</v>
      </c>
      <c r="L22" s="44">
        <f t="shared" si="1"/>
        <v>148.02631578947367</v>
      </c>
      <c r="M22" s="195">
        <v>444</v>
      </c>
      <c r="O22" s="36">
        <v>59</v>
      </c>
      <c r="P22" s="43"/>
      <c r="Q22" s="44"/>
      <c r="R22" s="44"/>
      <c r="S22" s="14" t="e">
        <f t="shared" si="2"/>
        <v>#DIV/0!</v>
      </c>
      <c r="T22" s="47"/>
    </row>
    <row r="23" spans="1:20" ht="18" customHeight="1" x14ac:dyDescent="0.3">
      <c r="A23" s="36">
        <v>14</v>
      </c>
      <c r="B23" s="13"/>
      <c r="C23" s="14"/>
      <c r="D23" s="14"/>
      <c r="E23" s="14"/>
      <c r="F23" s="15"/>
      <c r="H23" s="36">
        <v>37</v>
      </c>
      <c r="I23" s="194">
        <v>45403</v>
      </c>
      <c r="J23" s="195">
        <v>17.82</v>
      </c>
      <c r="K23" s="14" t="s">
        <v>78</v>
      </c>
      <c r="L23" s="44">
        <f t="shared" si="1"/>
        <v>101.01010101010101</v>
      </c>
      <c r="M23" s="195">
        <v>452</v>
      </c>
      <c r="O23" s="36">
        <v>60</v>
      </c>
      <c r="P23" s="43"/>
      <c r="Q23" s="44"/>
      <c r="R23" s="44"/>
      <c r="S23" s="14" t="e">
        <f t="shared" si="2"/>
        <v>#DIV/0!</v>
      </c>
      <c r="T23" s="47"/>
    </row>
    <row r="24" spans="1:20" ht="18" customHeight="1" x14ac:dyDescent="0.3">
      <c r="A24" s="36">
        <v>15</v>
      </c>
      <c r="B24" s="13"/>
      <c r="C24" s="14"/>
      <c r="D24" s="14"/>
      <c r="E24" s="14"/>
      <c r="F24" s="15"/>
      <c r="H24" s="36">
        <v>38</v>
      </c>
      <c r="I24" s="194">
        <v>45404</v>
      </c>
      <c r="J24" s="195">
        <v>15.51</v>
      </c>
      <c r="K24" s="14" t="s">
        <v>78</v>
      </c>
      <c r="L24" s="44">
        <f t="shared" si="1"/>
        <v>116.0541586073501</v>
      </c>
      <c r="M24" s="195">
        <v>362</v>
      </c>
      <c r="O24" s="36">
        <v>61</v>
      </c>
      <c r="P24" s="43"/>
      <c r="Q24" s="44"/>
      <c r="R24" s="44"/>
      <c r="S24" s="14" t="e">
        <f t="shared" si="2"/>
        <v>#DIV/0!</v>
      </c>
      <c r="T24" s="47"/>
    </row>
    <row r="25" spans="1:20" ht="18" customHeight="1" x14ac:dyDescent="0.3">
      <c r="A25" s="36">
        <v>16</v>
      </c>
      <c r="B25" s="13"/>
      <c r="C25" s="14"/>
      <c r="D25" s="14"/>
      <c r="E25" s="14"/>
      <c r="F25" s="15"/>
      <c r="H25" s="36">
        <v>39</v>
      </c>
      <c r="I25" s="194">
        <v>45405</v>
      </c>
      <c r="J25" s="195">
        <v>16.66</v>
      </c>
      <c r="K25" s="14" t="s">
        <v>78</v>
      </c>
      <c r="L25" s="44">
        <f t="shared" si="1"/>
        <v>108.04321728691477</v>
      </c>
      <c r="M25" s="195">
        <v>442</v>
      </c>
      <c r="O25" s="36">
        <v>62</v>
      </c>
      <c r="P25" s="43"/>
      <c r="Q25" s="44"/>
      <c r="R25" s="44"/>
      <c r="S25" s="14" t="e">
        <f t="shared" si="2"/>
        <v>#DIV/0!</v>
      </c>
      <c r="T25" s="47"/>
    </row>
    <row r="26" spans="1:20" ht="18" customHeight="1" x14ac:dyDescent="0.3">
      <c r="A26" s="36">
        <v>17</v>
      </c>
      <c r="B26" s="13"/>
      <c r="C26" s="14"/>
      <c r="D26" s="14"/>
      <c r="E26" s="14"/>
      <c r="F26" s="15"/>
      <c r="H26" s="36">
        <v>40</v>
      </c>
      <c r="I26" s="194">
        <v>45406</v>
      </c>
      <c r="J26" s="195">
        <v>16.63</v>
      </c>
      <c r="K26" s="14" t="s">
        <v>78</v>
      </c>
      <c r="L26" s="44">
        <f t="shared" si="1"/>
        <v>108.23812387251955</v>
      </c>
      <c r="M26" s="195">
        <v>301</v>
      </c>
      <c r="O26" s="36">
        <v>63</v>
      </c>
      <c r="P26" s="43"/>
      <c r="Q26" s="44"/>
      <c r="R26" s="44"/>
      <c r="S26" s="14" t="e">
        <f t="shared" si="2"/>
        <v>#DIV/0!</v>
      </c>
      <c r="T26" s="47"/>
    </row>
    <row r="27" spans="1:20" ht="18" customHeight="1" x14ac:dyDescent="0.3">
      <c r="A27" s="36">
        <v>18</v>
      </c>
      <c r="B27" s="13"/>
      <c r="C27" s="14"/>
      <c r="D27" s="14"/>
      <c r="E27" s="14"/>
      <c r="F27" s="15"/>
      <c r="H27" s="36">
        <v>41</v>
      </c>
      <c r="I27" s="194">
        <v>45407</v>
      </c>
      <c r="J27" s="195">
        <v>15.65</v>
      </c>
      <c r="K27" s="14" t="s">
        <v>78</v>
      </c>
      <c r="L27" s="44">
        <f t="shared" si="1"/>
        <v>115.01597444089457</v>
      </c>
      <c r="M27" s="195">
        <v>350</v>
      </c>
      <c r="O27" s="36">
        <v>64</v>
      </c>
      <c r="P27" s="43"/>
      <c r="Q27" s="44"/>
      <c r="R27" s="44"/>
      <c r="S27" s="14" t="e">
        <f t="shared" si="2"/>
        <v>#DIV/0!</v>
      </c>
      <c r="T27" s="47"/>
    </row>
    <row r="28" spans="1:20" ht="18" customHeight="1" x14ac:dyDescent="0.3">
      <c r="A28" s="36">
        <v>19</v>
      </c>
      <c r="B28" s="13"/>
      <c r="C28" s="14"/>
      <c r="D28" s="14"/>
      <c r="E28" s="14"/>
      <c r="F28" s="15"/>
      <c r="H28" s="36">
        <v>42</v>
      </c>
      <c r="I28" s="13"/>
      <c r="J28" s="14"/>
      <c r="K28" s="14"/>
      <c r="L28" s="44"/>
      <c r="M28" s="15"/>
      <c r="O28" s="36">
        <v>65</v>
      </c>
      <c r="P28" s="43"/>
      <c r="Q28" s="44"/>
      <c r="R28" s="44"/>
      <c r="S28" s="14" t="e">
        <f t="shared" si="2"/>
        <v>#DIV/0!</v>
      </c>
      <c r="T28" s="47"/>
    </row>
    <row r="29" spans="1:20" ht="18" customHeight="1" x14ac:dyDescent="0.3">
      <c r="A29" s="36">
        <v>20</v>
      </c>
      <c r="B29" s="13"/>
      <c r="C29" s="14"/>
      <c r="D29" s="14"/>
      <c r="E29" s="14"/>
      <c r="F29" s="15"/>
      <c r="H29" s="36">
        <v>43</v>
      </c>
      <c r="I29" s="13"/>
      <c r="J29" s="14"/>
      <c r="K29" s="14"/>
      <c r="L29" s="44"/>
      <c r="M29" s="15"/>
      <c r="O29" s="36">
        <v>66</v>
      </c>
      <c r="P29" s="43"/>
      <c r="Q29" s="44"/>
      <c r="R29" s="44"/>
      <c r="S29" s="14" t="e">
        <f t="shared" si="2"/>
        <v>#DIV/0!</v>
      </c>
      <c r="T29" s="47"/>
    </row>
    <row r="30" spans="1:20" ht="18" customHeight="1" x14ac:dyDescent="0.3">
      <c r="A30" s="36">
        <v>21</v>
      </c>
      <c r="B30" s="13"/>
      <c r="C30" s="14"/>
      <c r="D30" s="14"/>
      <c r="E30" s="14"/>
      <c r="F30" s="15"/>
      <c r="H30" s="36">
        <v>44</v>
      </c>
      <c r="I30" s="13"/>
      <c r="J30" s="14"/>
      <c r="K30" s="14"/>
      <c r="L30" s="44"/>
      <c r="M30" s="15"/>
      <c r="O30" s="36">
        <v>67</v>
      </c>
      <c r="P30" s="43"/>
      <c r="Q30" s="44"/>
      <c r="R30" s="44"/>
      <c r="S30" s="14" t="e">
        <f t="shared" si="2"/>
        <v>#DIV/0!</v>
      </c>
      <c r="T30" s="47"/>
    </row>
    <row r="31" spans="1:20" ht="18" customHeight="1" x14ac:dyDescent="0.3">
      <c r="A31" s="36">
        <v>22</v>
      </c>
      <c r="B31" s="13"/>
      <c r="C31" s="14"/>
      <c r="D31" s="14"/>
      <c r="E31" s="14"/>
      <c r="F31" s="15"/>
      <c r="H31" s="36">
        <v>45</v>
      </c>
      <c r="I31" s="13"/>
      <c r="J31" s="14"/>
      <c r="K31" s="14"/>
      <c r="L31" s="44"/>
      <c r="M31" s="15"/>
      <c r="O31" s="36">
        <v>68</v>
      </c>
      <c r="P31" s="43"/>
      <c r="Q31" s="44"/>
      <c r="R31" s="44"/>
      <c r="S31" s="14" t="e">
        <f t="shared" si="2"/>
        <v>#DIV/0!</v>
      </c>
      <c r="T31" s="47"/>
    </row>
    <row r="32" spans="1:20" ht="18" customHeight="1" thickBot="1" x14ac:dyDescent="0.35">
      <c r="A32" s="37">
        <v>23</v>
      </c>
      <c r="B32" s="16"/>
      <c r="C32" s="17"/>
      <c r="D32" s="17"/>
      <c r="E32" s="14"/>
      <c r="F32" s="18"/>
      <c r="H32" s="36">
        <v>46</v>
      </c>
      <c r="I32" s="16"/>
      <c r="J32" s="19"/>
      <c r="K32" s="19"/>
      <c r="L32" s="44"/>
      <c r="M32" s="18"/>
      <c r="O32" s="36">
        <v>69</v>
      </c>
      <c r="P32" s="45"/>
      <c r="Q32" s="46"/>
      <c r="R32" s="46"/>
      <c r="S32" s="14" t="e">
        <f t="shared" si="2"/>
        <v>#DIV/0!</v>
      </c>
      <c r="T32" s="48"/>
    </row>
    <row r="33" spans="1:20" x14ac:dyDescent="0.3">
      <c r="A33" s="6"/>
      <c r="C33" s="139" t="s">
        <v>14</v>
      </c>
      <c r="D33" s="140"/>
      <c r="E33" s="9">
        <f>SUM(E10:E17)</f>
        <v>1099.3817830347828</v>
      </c>
      <c r="J33" s="139" t="s">
        <v>14</v>
      </c>
      <c r="K33" s="140"/>
      <c r="L33" s="83">
        <f>SUM(L10:L27)</f>
        <v>2087.6966645862162</v>
      </c>
      <c r="Q33" s="139" t="s">
        <v>14</v>
      </c>
      <c r="R33" s="140"/>
      <c r="S33" s="9"/>
      <c r="T33" s="8"/>
    </row>
    <row r="34" spans="1:20" ht="15" thickBot="1" x14ac:dyDescent="0.35">
      <c r="A34" s="6"/>
      <c r="C34" s="143" t="s">
        <v>15</v>
      </c>
      <c r="D34" s="144"/>
      <c r="E34" s="20">
        <f>IFERROR(ROUND(AVERAGE(E10:E32),0),"")</f>
        <v>137</v>
      </c>
      <c r="J34" s="143" t="s">
        <v>15</v>
      </c>
      <c r="K34" s="144"/>
      <c r="L34" s="80">
        <f>IFERROR(ROUND(AVERAGE(L10:L32),0),"")</f>
        <v>116</v>
      </c>
      <c r="Q34" s="143" t="s">
        <v>15</v>
      </c>
      <c r="R34" s="144"/>
      <c r="S34" s="20" t="str">
        <f>IFERROR(ROUND(AVERAGE(S10:S32),0),"")</f>
        <v/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197">
        <v>5120</v>
      </c>
      <c r="J36" s="22" t="s">
        <v>18</v>
      </c>
      <c r="L36" s="84"/>
      <c r="T36" s="8"/>
    </row>
    <row r="37" spans="1:20" ht="15.6" x14ac:dyDescent="0.3">
      <c r="A37" s="24"/>
      <c r="C37" s="25" t="s">
        <v>19</v>
      </c>
      <c r="D37" s="197">
        <v>4</v>
      </c>
      <c r="E37" s="26" t="s">
        <v>20</v>
      </c>
      <c r="H37" s="40" t="s">
        <v>21</v>
      </c>
      <c r="I37" s="197">
        <v>345</v>
      </c>
      <c r="J37" s="27" t="s">
        <v>18</v>
      </c>
      <c r="L37" s="85"/>
      <c r="T37" s="8"/>
    </row>
    <row r="38" spans="1:20" ht="15.6" x14ac:dyDescent="0.3">
      <c r="A38" s="6"/>
      <c r="C38" s="25" t="s">
        <v>19</v>
      </c>
      <c r="D38" s="197">
        <v>5.5</v>
      </c>
      <c r="E38" s="26" t="s">
        <v>20</v>
      </c>
      <c r="H38" s="40" t="s">
        <v>23</v>
      </c>
      <c r="I38" s="199">
        <v>6.8</v>
      </c>
      <c r="J38" s="27" t="s">
        <v>24</v>
      </c>
      <c r="T38" s="8"/>
    </row>
    <row r="39" spans="1:20" ht="15" customHeight="1" x14ac:dyDescent="0.3">
      <c r="A39" s="6"/>
      <c r="C39" s="25" t="s">
        <v>22</v>
      </c>
      <c r="D39" s="197">
        <v>5.01</v>
      </c>
      <c r="E39" s="26" t="s">
        <v>20</v>
      </c>
      <c r="H39" s="40" t="s">
        <v>26</v>
      </c>
      <c r="I39" s="197">
        <v>38</v>
      </c>
      <c r="J39" s="27" t="s">
        <v>27</v>
      </c>
      <c r="T39" s="8"/>
    </row>
    <row r="40" spans="1:20" ht="15.6" x14ac:dyDescent="0.3">
      <c r="A40" s="6"/>
      <c r="C40" s="25" t="s">
        <v>25</v>
      </c>
      <c r="D40" s="197">
        <v>3.5</v>
      </c>
      <c r="E40" s="26" t="s">
        <v>20</v>
      </c>
      <c r="H40" s="40" t="s">
        <v>29</v>
      </c>
      <c r="I40" s="197">
        <v>1100</v>
      </c>
      <c r="J40" s="27" t="s">
        <v>30</v>
      </c>
      <c r="T40" s="8"/>
    </row>
    <row r="41" spans="1:20" ht="15.6" x14ac:dyDescent="0.3">
      <c r="A41" s="6"/>
      <c r="C41" s="25" t="s">
        <v>28</v>
      </c>
      <c r="D41" s="197">
        <v>57</v>
      </c>
      <c r="E41" s="26" t="s">
        <v>20</v>
      </c>
      <c r="H41" s="40" t="s">
        <v>32</v>
      </c>
      <c r="I41" s="197">
        <v>2090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25" t="s">
        <v>31</v>
      </c>
      <c r="D42" s="197">
        <v>58</v>
      </c>
      <c r="E42" s="26" t="s">
        <v>20</v>
      </c>
      <c r="H42" s="40" t="s">
        <v>48</v>
      </c>
      <c r="I42" s="200"/>
      <c r="J42" s="27" t="s">
        <v>30</v>
      </c>
      <c r="L42" s="141" t="s">
        <v>38</v>
      </c>
      <c r="M42" s="141"/>
      <c r="P42" s="141" t="s">
        <v>39</v>
      </c>
      <c r="Q42" s="141"/>
      <c r="R42" s="141" t="s">
        <v>40</v>
      </c>
      <c r="S42" s="141"/>
      <c r="T42" s="142"/>
    </row>
    <row r="43" spans="1:20" ht="15.6" x14ac:dyDescent="0.3">
      <c r="A43" s="6"/>
      <c r="C43" s="25" t="s">
        <v>36</v>
      </c>
      <c r="D43" s="197">
        <v>53</v>
      </c>
      <c r="E43" s="26" t="s">
        <v>20</v>
      </c>
      <c r="H43" s="40" t="s">
        <v>37</v>
      </c>
      <c r="I43" s="197">
        <v>3190</v>
      </c>
      <c r="J43" s="27" t="s">
        <v>30</v>
      </c>
      <c r="T43" s="8"/>
    </row>
    <row r="44" spans="1:20" ht="15.6" x14ac:dyDescent="0.3">
      <c r="A44" s="6"/>
      <c r="C44" s="25" t="s">
        <v>41</v>
      </c>
      <c r="D44" s="197">
        <v>0</v>
      </c>
      <c r="E44" s="26" t="s">
        <v>20</v>
      </c>
      <c r="H44" s="40" t="s">
        <v>42</v>
      </c>
      <c r="I44" s="197">
        <v>8085</v>
      </c>
      <c r="J44" s="27" t="s">
        <v>18</v>
      </c>
      <c r="T44" s="8"/>
    </row>
    <row r="45" spans="1:20" ht="16.2" thickBot="1" x14ac:dyDescent="0.35">
      <c r="A45" s="31"/>
      <c r="B45" s="32"/>
      <c r="C45" s="29" t="s">
        <v>43</v>
      </c>
      <c r="D45" s="198">
        <v>0</v>
      </c>
      <c r="E45" s="30" t="s">
        <v>20</v>
      </c>
      <c r="F45" s="32"/>
      <c r="G45" s="32"/>
      <c r="H45" s="40" t="s">
        <v>44</v>
      </c>
      <c r="I45" s="197">
        <v>6</v>
      </c>
      <c r="J45" s="27" t="s">
        <v>45</v>
      </c>
      <c r="K45" s="32"/>
      <c r="L45" s="42"/>
      <c r="M45" s="32"/>
      <c r="N45" s="32"/>
      <c r="O45" s="42"/>
      <c r="P45" s="32"/>
      <c r="Q45" s="32"/>
      <c r="R45" s="32"/>
      <c r="S45" s="32"/>
      <c r="T45" s="34"/>
    </row>
    <row r="46" spans="1:20" ht="15" thickBot="1" x14ac:dyDescent="0.35">
      <c r="C46" s="32"/>
      <c r="D46" s="32"/>
      <c r="E46" s="32"/>
      <c r="H46" s="41" t="s">
        <v>46</v>
      </c>
      <c r="I46" s="46">
        <v>3.19</v>
      </c>
      <c r="J46" s="33" t="s">
        <v>45</v>
      </c>
    </row>
  </sheetData>
  <mergeCells count="22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3:D33"/>
    <mergeCell ref="J33:K33"/>
    <mergeCell ref="Q33:R33"/>
    <mergeCell ref="L42:M42"/>
    <mergeCell ref="P42:Q42"/>
    <mergeCell ref="R42:T42"/>
    <mergeCell ref="C34:D34"/>
    <mergeCell ref="J34:K34"/>
    <mergeCell ref="Q34:R34"/>
    <mergeCell ref="C36:E36"/>
    <mergeCell ref="L41:M41"/>
    <mergeCell ref="P41:Q41"/>
    <mergeCell ref="R41:T41"/>
  </mergeCells>
  <conditionalFormatting sqref="F10:F17">
    <cfRule type="cellIs" dxfId="3" priority="4" stopIfTrue="1" operator="greaterThan">
      <formula>1800</formula>
    </cfRule>
  </conditionalFormatting>
  <conditionalFormatting sqref="F10:F17">
    <cfRule type="cellIs" dxfId="2" priority="3" stopIfTrue="1" operator="greaterThan">
      <formula>1800</formula>
    </cfRule>
  </conditionalFormatting>
  <conditionalFormatting sqref="M10:M12 M14:M27">
    <cfRule type="cellIs" dxfId="1" priority="1" stopIfTrue="1" operator="greaterThan">
      <formula>1800</formula>
    </cfRule>
  </conditionalFormatting>
  <conditionalFormatting sqref="M10:M12 M14:M27">
    <cfRule type="cellIs" dxfId="0" priority="2" stopIfTrue="1" operator="greaterThan">
      <formula>2500</formula>
    </cfRule>
  </conditionalFormatting>
  <dataValidations count="9">
    <dataValidation type="whole" operator="greaterThanOrEqual" showErrorMessage="1" errorTitle="Plant SR No" error="Plant SR No must be a whole number &gt;= 1." sqref="C4" xr:uid="{D045F864-6AF4-4DAE-BBFC-21BBAF52C7CB}">
      <formula1>1</formula1>
    </dataValidation>
    <dataValidation type="decimal" operator="greaterThanOrEqual" allowBlank="1" showErrorMessage="1" errorTitle="Value" error="Value must be a number &gt;= 0." sqref="I36:I46 D37:D45" xr:uid="{2D53BE14-95C7-4C81-974C-7A9441CD9DA8}">
      <formula1>0</formula1>
    </dataValidation>
    <dataValidation type="decimal" allowBlank="1" showErrorMessage="1" errorTitle="Conductivity" error="Conductivity must be 0..50000 us/cm." sqref="F10:F32 M10:M32 T10:T32" xr:uid="{AA74982D-182A-44EC-BD37-AEFCE009A293}">
      <formula1>0</formula1>
      <formula2>50000</formula2>
    </dataValidation>
    <dataValidation type="decimal" operator="greaterThanOrEqual" allowBlank="1" showErrorMessage="1" errorTitle="Flow" error="Flow must be a number &gt;= 0." sqref="C10:C32 E10:E32 J10:J32 S10:S32 Q10:Q32 L10:L32" xr:uid="{9B5B23B9-0DEC-4E45-B3AC-F30D0180980B}">
      <formula1>0</formula1>
    </dataValidation>
    <dataValidation type="date" operator="greaterThan" allowBlank="1" showErrorMessage="1" errorTitle="Date" error="Enter a real date." sqref="B10:B32 I3 I10:I32 P10:P32" xr:uid="{9761C747-37EF-41FA-B146-5B7B822A9A3B}">
      <formula1>DATE(2000,1,1)</formula1>
    </dataValidation>
    <dataValidation type="whole" operator="greaterThanOrEqual" allowBlank="1" showErrorMessage="1" errorTitle="Module no." error="Module number must be a whole number &gt;= 1." sqref="A10:A32 H10:H32 O10:O32" xr:uid="{161CCAA4-7E92-4AAA-B421-14AF0DADA4C7}">
      <formula1>1</formula1>
    </dataValidation>
    <dataValidation type="list" allowBlank="1" sqref="R10:R32 D10:D32 K10:K32" xr:uid="{27558EEA-199A-4FA1-89D3-C3A36D57B2BE}">
      <formula1>"Non Colour,Colour"</formula1>
    </dataValidation>
    <dataValidation type="list" showErrorMessage="1" errorTitle="Zone" error="Pick a zone from the list." sqref="C5" xr:uid="{12D68237-B211-4280-8BF7-242A4BA1ACD7}">
      <formula1>"Ahmedabad,Vadodara,Ankleshwar,Panoli,Jhagadia,Dahej,Vapi"</formula1>
    </dataValidation>
    <dataValidation type="list" allowBlank="1" showErrorMessage="1" errorTitle="Stage" error="Pick the stage from the list." sqref="A8 H8 O8" xr:uid="{8F74367C-EDDA-4F09-A8C5-899DD89E7065}">
      <formula1>"I STAGE,II STAGE,III STAGE,IV STAGE"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FD6A-4E70-40DD-9E9D-B97C06D308CC}">
  <dimension ref="A1:U48"/>
  <sheetViews>
    <sheetView tabSelected="1" topLeftCell="A31" workbookViewId="0">
      <selection activeCell="P10" sqref="P10:P21"/>
    </sheetView>
  </sheetViews>
  <sheetFormatPr defaultColWidth="9.109375" defaultRowHeight="14.4" x14ac:dyDescent="0.3"/>
  <cols>
    <col min="1" max="1" width="8.6640625" style="7" customWidth="1"/>
    <col min="2" max="2" width="10.88671875" style="7" customWidth="1"/>
    <col min="3" max="3" width="13" style="38" customWidth="1"/>
    <col min="4" max="4" width="10.109375" style="7" bestFit="1" customWidth="1"/>
    <col min="5" max="5" width="8.6640625" style="7" customWidth="1"/>
    <col min="6" max="6" width="10.6640625" style="38" customWidth="1"/>
    <col min="7" max="7" width="2" style="7" customWidth="1"/>
    <col min="8" max="8" width="14" style="38" customWidth="1"/>
    <col min="9" max="9" width="10.88671875" style="7" customWidth="1"/>
    <col min="10" max="10" width="13" style="38" customWidth="1"/>
    <col min="11" max="11" width="10.109375" style="7" bestFit="1" customWidth="1"/>
    <col min="12" max="12" width="8.6640625" style="7" customWidth="1"/>
    <col min="13" max="13" width="10.6640625" style="38" customWidth="1"/>
    <col min="14" max="14" width="2" style="7" customWidth="1"/>
    <col min="15" max="15" width="8.6640625" style="38" customWidth="1"/>
    <col min="16" max="16" width="10.88671875" style="7" customWidth="1"/>
    <col min="17" max="17" width="13" style="7" customWidth="1"/>
    <col min="18" max="18" width="12" style="7" customWidth="1"/>
    <col min="19" max="19" width="8.6640625" style="7" customWidth="1"/>
    <col min="20" max="20" width="10.6640625" style="7" customWidth="1"/>
    <col min="21" max="16384" width="9.109375" style="7"/>
  </cols>
  <sheetData>
    <row r="1" spans="1:21" s="5" customFormat="1" ht="55.5" customHeight="1" thickBot="1" x14ac:dyDescent="0.4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35"/>
      <c r="N1" s="1"/>
      <c r="O1" s="35"/>
      <c r="P1" s="1"/>
      <c r="Q1" s="2"/>
      <c r="R1" s="3"/>
      <c r="S1" s="3"/>
      <c r="T1" s="4"/>
    </row>
    <row r="2" spans="1:21" s="5" customFormat="1" ht="21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7" t="s">
        <v>1</v>
      </c>
      <c r="N2" s="128"/>
      <c r="O2" s="128"/>
      <c r="P2" s="128"/>
      <c r="Q2" s="128"/>
      <c r="R2" s="128"/>
      <c r="S2" s="128"/>
      <c r="T2" s="129"/>
    </row>
    <row r="3" spans="1:21" s="5" customFormat="1" ht="21.75" customHeight="1" thickBot="1" x14ac:dyDescent="0.3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127" t="s">
        <v>2</v>
      </c>
      <c r="N3" s="128"/>
      <c r="O3" s="128"/>
      <c r="P3" s="128"/>
      <c r="Q3" s="128"/>
      <c r="R3" s="128"/>
      <c r="S3" s="128"/>
      <c r="T3" s="129"/>
    </row>
    <row r="4" spans="1:21" s="5" customFormat="1" ht="21" x14ac:dyDescent="0.3">
      <c r="A4" s="130" t="s">
        <v>89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</row>
    <row r="5" spans="1:21" s="5" customFormat="1" ht="21" x14ac:dyDescent="0.3">
      <c r="A5" s="133" t="s">
        <v>90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spans="1:21" s="5" customFormat="1" ht="21.6" thickBot="1" x14ac:dyDescent="0.35">
      <c r="A6" s="115" t="s">
        <v>91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/>
    </row>
    <row r="7" spans="1:21" ht="15" thickBot="1" x14ac:dyDescent="0.35">
      <c r="A7" s="6"/>
      <c r="T7" s="8"/>
    </row>
    <row r="8" spans="1:21" ht="18" customHeight="1" x14ac:dyDescent="0.3">
      <c r="A8" s="136" t="s">
        <v>5</v>
      </c>
      <c r="B8" s="137"/>
      <c r="C8" s="137"/>
      <c r="D8" s="137"/>
      <c r="E8" s="137"/>
      <c r="F8" s="138"/>
      <c r="H8" s="136" t="s">
        <v>6</v>
      </c>
      <c r="I8" s="137"/>
      <c r="J8" s="137"/>
      <c r="K8" s="137"/>
      <c r="L8" s="137"/>
      <c r="M8" s="138"/>
      <c r="O8" s="136" t="s">
        <v>7</v>
      </c>
      <c r="P8" s="137"/>
      <c r="Q8" s="137"/>
      <c r="R8" s="137"/>
      <c r="S8" s="137"/>
      <c r="T8" s="138"/>
    </row>
    <row r="9" spans="1:21" ht="33.75" customHeight="1" x14ac:dyDescent="0.3">
      <c r="A9" s="10" t="s">
        <v>8</v>
      </c>
      <c r="B9" s="11" t="s">
        <v>9</v>
      </c>
      <c r="C9" s="11" t="s">
        <v>92</v>
      </c>
      <c r="D9" s="11" t="s">
        <v>11</v>
      </c>
      <c r="E9" s="11" t="s">
        <v>12</v>
      </c>
      <c r="F9" s="12" t="s">
        <v>13</v>
      </c>
      <c r="H9" s="10" t="s">
        <v>8</v>
      </c>
      <c r="I9" s="11" t="s">
        <v>9</v>
      </c>
      <c r="J9" s="11" t="s">
        <v>74</v>
      </c>
      <c r="K9" s="11" t="s">
        <v>11</v>
      </c>
      <c r="L9" s="11" t="s">
        <v>12</v>
      </c>
      <c r="M9" s="12" t="s">
        <v>13</v>
      </c>
      <c r="O9" s="10" t="s">
        <v>8</v>
      </c>
      <c r="P9" s="11" t="s">
        <v>9</v>
      </c>
      <c r="Q9" s="11" t="s">
        <v>74</v>
      </c>
      <c r="R9" s="11" t="s">
        <v>11</v>
      </c>
      <c r="S9" s="11" t="s">
        <v>12</v>
      </c>
      <c r="T9" s="12" t="s">
        <v>13</v>
      </c>
    </row>
    <row r="10" spans="1:21" ht="18" customHeight="1" x14ac:dyDescent="0.3">
      <c r="A10" s="36">
        <v>1</v>
      </c>
      <c r="B10" s="229">
        <v>45587</v>
      </c>
      <c r="C10" s="44">
        <v>12.44</v>
      </c>
      <c r="D10" s="14" t="s">
        <v>78</v>
      </c>
      <c r="E10" s="14">
        <f>3600/C10</f>
        <v>289.38906752411577</v>
      </c>
      <c r="F10" s="47">
        <v>870</v>
      </c>
      <c r="H10" s="36">
        <v>24</v>
      </c>
      <c r="I10" s="229">
        <v>45587</v>
      </c>
      <c r="J10" s="44">
        <v>16.07</v>
      </c>
      <c r="K10" s="14" t="s">
        <v>78</v>
      </c>
      <c r="L10" s="14">
        <f>3600/J10</f>
        <v>224.01991288114499</v>
      </c>
      <c r="M10" s="47">
        <v>710</v>
      </c>
      <c r="O10" s="36">
        <v>47</v>
      </c>
      <c r="P10" s="229">
        <v>45587</v>
      </c>
      <c r="Q10" s="44">
        <v>20.48</v>
      </c>
      <c r="R10" s="44" t="s">
        <v>78</v>
      </c>
      <c r="S10" s="14">
        <f>3600/Q10</f>
        <v>175.78125</v>
      </c>
      <c r="T10" s="47">
        <v>900</v>
      </c>
    </row>
    <row r="11" spans="1:21" ht="18" customHeight="1" x14ac:dyDescent="0.3">
      <c r="A11" s="36">
        <v>2</v>
      </c>
      <c r="B11" s="229">
        <v>45587</v>
      </c>
      <c r="C11" s="44">
        <v>12.21</v>
      </c>
      <c r="D11" s="14" t="s">
        <v>78</v>
      </c>
      <c r="E11" s="14">
        <f t="shared" ref="E11:E29" si="0">3600/C11</f>
        <v>294.8402948402948</v>
      </c>
      <c r="F11" s="47">
        <v>970</v>
      </c>
      <c r="H11" s="36">
        <v>25</v>
      </c>
      <c r="I11" s="229">
        <v>45587</v>
      </c>
      <c r="J11" s="44">
        <v>15.77</v>
      </c>
      <c r="K11" s="14" t="s">
        <v>78</v>
      </c>
      <c r="L11" s="14">
        <f t="shared" ref="L11:L31" si="1">3600/J11</f>
        <v>228.28154724159799</v>
      </c>
      <c r="M11" s="47">
        <v>900</v>
      </c>
      <c r="O11" s="36">
        <v>48</v>
      </c>
      <c r="P11" s="229">
        <v>45587</v>
      </c>
      <c r="Q11" s="44">
        <v>20.94</v>
      </c>
      <c r="R11" s="44" t="s">
        <v>78</v>
      </c>
      <c r="S11" s="14">
        <f t="shared" ref="S11:S21" si="2">3600/Q11</f>
        <v>171.91977077363896</v>
      </c>
      <c r="T11" s="47">
        <v>1130</v>
      </c>
    </row>
    <row r="12" spans="1:21" ht="18" customHeight="1" x14ac:dyDescent="0.3">
      <c r="A12" s="36">
        <v>3</v>
      </c>
      <c r="B12" s="229">
        <v>45587</v>
      </c>
      <c r="C12" s="44">
        <v>11.39</v>
      </c>
      <c r="D12" s="14" t="s">
        <v>78</v>
      </c>
      <c r="E12" s="14">
        <f t="shared" si="0"/>
        <v>316.0667251975417</v>
      </c>
      <c r="F12" s="47">
        <v>1050</v>
      </c>
      <c r="H12" s="36">
        <v>26</v>
      </c>
      <c r="I12" s="229">
        <v>45587</v>
      </c>
      <c r="J12" s="44">
        <v>14.84</v>
      </c>
      <c r="K12" s="14" t="s">
        <v>78</v>
      </c>
      <c r="L12" s="14">
        <f t="shared" si="1"/>
        <v>242.58760107816713</v>
      </c>
      <c r="M12" s="47">
        <v>860</v>
      </c>
      <c r="O12" s="36">
        <v>49</v>
      </c>
      <c r="P12" s="229">
        <v>45587</v>
      </c>
      <c r="Q12" s="44">
        <v>18.61</v>
      </c>
      <c r="R12" s="44" t="s">
        <v>78</v>
      </c>
      <c r="S12" s="14">
        <f t="shared" si="2"/>
        <v>193.44438473938743</v>
      </c>
      <c r="T12" s="47">
        <v>1090</v>
      </c>
    </row>
    <row r="13" spans="1:21" ht="18" customHeight="1" x14ac:dyDescent="0.3">
      <c r="A13" s="36">
        <v>4</v>
      </c>
      <c r="B13" s="229">
        <v>45587</v>
      </c>
      <c r="C13" s="44">
        <v>11.63</v>
      </c>
      <c r="D13" s="14" t="s">
        <v>78</v>
      </c>
      <c r="E13" s="14">
        <f t="shared" si="0"/>
        <v>309.54428202923469</v>
      </c>
      <c r="F13" s="47">
        <v>970</v>
      </c>
      <c r="H13" s="36">
        <v>27</v>
      </c>
      <c r="I13" s="229">
        <v>45587</v>
      </c>
      <c r="J13" s="44">
        <v>15.92</v>
      </c>
      <c r="K13" s="14" t="s">
        <v>78</v>
      </c>
      <c r="L13" s="14">
        <f t="shared" si="1"/>
        <v>226.13065326633165</v>
      </c>
      <c r="M13" s="47">
        <v>650</v>
      </c>
      <c r="O13" s="36">
        <v>50</v>
      </c>
      <c r="P13" s="229">
        <v>45587</v>
      </c>
      <c r="Q13" s="44">
        <v>21.15</v>
      </c>
      <c r="R13" s="44" t="s">
        <v>78</v>
      </c>
      <c r="S13" s="14">
        <f t="shared" si="2"/>
        <v>170.21276595744683</v>
      </c>
      <c r="T13" s="47">
        <v>940</v>
      </c>
    </row>
    <row r="14" spans="1:21" ht="18" customHeight="1" x14ac:dyDescent="0.3">
      <c r="A14" s="36">
        <v>5</v>
      </c>
      <c r="B14" s="229">
        <v>45587</v>
      </c>
      <c r="C14" s="44">
        <v>12.2</v>
      </c>
      <c r="D14" s="14" t="s">
        <v>78</v>
      </c>
      <c r="E14" s="14">
        <f t="shared" si="0"/>
        <v>295.08196721311475</v>
      </c>
      <c r="F14" s="47">
        <v>1080</v>
      </c>
      <c r="H14" s="36">
        <v>28</v>
      </c>
      <c r="I14" s="229">
        <v>45587</v>
      </c>
      <c r="J14" s="44">
        <v>14.66</v>
      </c>
      <c r="K14" s="14" t="s">
        <v>78</v>
      </c>
      <c r="L14" s="14">
        <f t="shared" si="1"/>
        <v>245.56616643929058</v>
      </c>
      <c r="M14" s="47">
        <v>690</v>
      </c>
      <c r="O14" s="36">
        <v>51</v>
      </c>
      <c r="P14" s="229">
        <v>45587</v>
      </c>
      <c r="Q14" s="44">
        <v>21.07</v>
      </c>
      <c r="R14" s="44" t="s">
        <v>78</v>
      </c>
      <c r="S14" s="14">
        <f t="shared" si="2"/>
        <v>170.85904129093498</v>
      </c>
      <c r="T14" s="53">
        <v>770</v>
      </c>
      <c r="U14" s="52"/>
    </row>
    <row r="15" spans="1:21" ht="18" customHeight="1" x14ac:dyDescent="0.3">
      <c r="A15" s="36">
        <v>6</v>
      </c>
      <c r="B15" s="229">
        <v>45587</v>
      </c>
      <c r="C15" s="44">
        <v>11.62</v>
      </c>
      <c r="D15" s="14" t="s">
        <v>78</v>
      </c>
      <c r="E15" s="14">
        <f t="shared" si="0"/>
        <v>309.81067125645438</v>
      </c>
      <c r="F15" s="47">
        <v>1170</v>
      </c>
      <c r="H15" s="36">
        <v>29</v>
      </c>
      <c r="I15" s="229">
        <v>45587</v>
      </c>
      <c r="J15" s="44">
        <v>15.35</v>
      </c>
      <c r="K15" s="14" t="s">
        <v>78</v>
      </c>
      <c r="L15" s="14">
        <f t="shared" si="1"/>
        <v>234.52768729641696</v>
      </c>
      <c r="M15" s="47">
        <v>770</v>
      </c>
      <c r="O15" s="36">
        <v>52</v>
      </c>
      <c r="P15" s="229">
        <v>45587</v>
      </c>
      <c r="Q15" s="44">
        <v>20.52</v>
      </c>
      <c r="R15" s="44" t="s">
        <v>78</v>
      </c>
      <c r="S15" s="14">
        <f t="shared" si="2"/>
        <v>175.43859649122808</v>
      </c>
      <c r="T15" s="47">
        <v>750</v>
      </c>
    </row>
    <row r="16" spans="1:21" ht="18" customHeight="1" x14ac:dyDescent="0.3">
      <c r="A16" s="36">
        <v>7</v>
      </c>
      <c r="B16" s="229">
        <v>45587</v>
      </c>
      <c r="C16" s="44">
        <v>11.7</v>
      </c>
      <c r="D16" s="14" t="s">
        <v>78</v>
      </c>
      <c r="E16" s="14">
        <f t="shared" si="0"/>
        <v>307.69230769230774</v>
      </c>
      <c r="F16" s="47">
        <v>600</v>
      </c>
      <c r="H16" s="36">
        <v>30</v>
      </c>
      <c r="I16" s="229">
        <v>45587</v>
      </c>
      <c r="J16" s="44">
        <v>16.34</v>
      </c>
      <c r="K16" s="14" t="s">
        <v>78</v>
      </c>
      <c r="L16" s="14">
        <f t="shared" si="1"/>
        <v>220.31823745410037</v>
      </c>
      <c r="M16" s="47">
        <v>980</v>
      </c>
      <c r="O16" s="36">
        <v>53</v>
      </c>
      <c r="P16" s="229">
        <v>45587</v>
      </c>
      <c r="Q16" s="44">
        <v>20.7</v>
      </c>
      <c r="R16" s="44" t="s">
        <v>78</v>
      </c>
      <c r="S16" s="14">
        <f t="shared" si="2"/>
        <v>173.91304347826087</v>
      </c>
      <c r="T16" s="47">
        <v>1080</v>
      </c>
    </row>
    <row r="17" spans="1:20" ht="18" customHeight="1" x14ac:dyDescent="0.3">
      <c r="A17" s="36">
        <v>8</v>
      </c>
      <c r="B17" s="229">
        <v>45587</v>
      </c>
      <c r="C17" s="44">
        <v>11.73</v>
      </c>
      <c r="D17" s="14" t="s">
        <v>78</v>
      </c>
      <c r="E17" s="14">
        <f t="shared" si="0"/>
        <v>306.90537084398977</v>
      </c>
      <c r="F17" s="47">
        <v>550</v>
      </c>
      <c r="H17" s="36">
        <v>31</v>
      </c>
      <c r="I17" s="229">
        <v>45587</v>
      </c>
      <c r="J17" s="44">
        <v>15.61</v>
      </c>
      <c r="K17" s="14" t="s">
        <v>78</v>
      </c>
      <c r="L17" s="14">
        <f t="shared" si="1"/>
        <v>230.62139654067906</v>
      </c>
      <c r="M17" s="47">
        <v>900</v>
      </c>
      <c r="O17" s="36">
        <v>54</v>
      </c>
      <c r="P17" s="229">
        <v>45587</v>
      </c>
      <c r="Q17" s="44">
        <v>21.71</v>
      </c>
      <c r="R17" s="44" t="s">
        <v>78</v>
      </c>
      <c r="S17" s="14">
        <f t="shared" si="2"/>
        <v>165.82220175034544</v>
      </c>
      <c r="T17" s="47">
        <v>910</v>
      </c>
    </row>
    <row r="18" spans="1:20" ht="18" customHeight="1" x14ac:dyDescent="0.3">
      <c r="A18" s="36">
        <v>9</v>
      </c>
      <c r="B18" s="229">
        <v>45587</v>
      </c>
      <c r="C18" s="44">
        <v>11.1</v>
      </c>
      <c r="D18" s="14" t="s">
        <v>78</v>
      </c>
      <c r="E18" s="14">
        <f t="shared" si="0"/>
        <v>324.32432432432432</v>
      </c>
      <c r="F18" s="47">
        <v>580</v>
      </c>
      <c r="H18" s="36">
        <v>32</v>
      </c>
      <c r="I18" s="229">
        <v>45587</v>
      </c>
      <c r="J18" s="44">
        <v>16.079999999999998</v>
      </c>
      <c r="K18" s="14" t="s">
        <v>78</v>
      </c>
      <c r="L18" s="14">
        <f t="shared" si="1"/>
        <v>223.8805970149254</v>
      </c>
      <c r="M18" s="47">
        <v>680</v>
      </c>
      <c r="O18" s="36">
        <v>55</v>
      </c>
      <c r="P18" s="229">
        <v>45587</v>
      </c>
      <c r="Q18" s="44">
        <v>21.66</v>
      </c>
      <c r="R18" s="44" t="s">
        <v>78</v>
      </c>
      <c r="S18" s="14">
        <f t="shared" si="2"/>
        <v>166.2049861495845</v>
      </c>
      <c r="T18" s="47">
        <v>960</v>
      </c>
    </row>
    <row r="19" spans="1:20" ht="18" customHeight="1" x14ac:dyDescent="0.3">
      <c r="A19" s="36">
        <v>10</v>
      </c>
      <c r="B19" s="229">
        <v>45587</v>
      </c>
      <c r="C19" s="44">
        <v>12.71</v>
      </c>
      <c r="D19" s="14" t="s">
        <v>78</v>
      </c>
      <c r="E19" s="14">
        <f t="shared" si="0"/>
        <v>283.24154209284029</v>
      </c>
      <c r="F19" s="47">
        <v>500</v>
      </c>
      <c r="H19" s="36">
        <v>33</v>
      </c>
      <c r="I19" s="229">
        <v>45587</v>
      </c>
      <c r="J19" s="44">
        <v>15.25</v>
      </c>
      <c r="K19" s="14" t="s">
        <v>78</v>
      </c>
      <c r="L19" s="14">
        <f t="shared" si="1"/>
        <v>236.0655737704918</v>
      </c>
      <c r="M19" s="47">
        <v>900</v>
      </c>
      <c r="O19" s="36">
        <v>56</v>
      </c>
      <c r="P19" s="229">
        <v>45587</v>
      </c>
      <c r="Q19" s="44">
        <v>20.93</v>
      </c>
      <c r="R19" s="44" t="s">
        <v>78</v>
      </c>
      <c r="S19" s="14">
        <f t="shared" si="2"/>
        <v>172.00191113234592</v>
      </c>
      <c r="T19" s="47">
        <v>750</v>
      </c>
    </row>
    <row r="20" spans="1:20" ht="18" customHeight="1" x14ac:dyDescent="0.3">
      <c r="A20" s="36">
        <v>11</v>
      </c>
      <c r="B20" s="229">
        <v>45587</v>
      </c>
      <c r="C20" s="44">
        <v>11.78</v>
      </c>
      <c r="D20" s="14" t="s">
        <v>78</v>
      </c>
      <c r="E20" s="14">
        <f t="shared" si="0"/>
        <v>305.60271646859087</v>
      </c>
      <c r="F20" s="47">
        <v>860</v>
      </c>
      <c r="H20" s="36">
        <v>34</v>
      </c>
      <c r="I20" s="229">
        <v>45587</v>
      </c>
      <c r="J20" s="44">
        <v>16.41</v>
      </c>
      <c r="K20" s="14" t="s">
        <v>78</v>
      </c>
      <c r="L20" s="14">
        <f t="shared" si="1"/>
        <v>219.37842778793419</v>
      </c>
      <c r="M20" s="47">
        <v>870</v>
      </c>
      <c r="O20" s="36">
        <v>57</v>
      </c>
      <c r="P20" s="229">
        <v>45587</v>
      </c>
      <c r="Q20" s="44">
        <v>21.47</v>
      </c>
      <c r="R20" s="44" t="s">
        <v>78</v>
      </c>
      <c r="S20" s="14">
        <f t="shared" si="2"/>
        <v>167.67582673497904</v>
      </c>
      <c r="T20" s="47">
        <v>930</v>
      </c>
    </row>
    <row r="21" spans="1:20" ht="18" customHeight="1" x14ac:dyDescent="0.3">
      <c r="A21" s="36">
        <v>12</v>
      </c>
      <c r="B21" s="229">
        <v>45587</v>
      </c>
      <c r="C21" s="44">
        <v>10.99</v>
      </c>
      <c r="D21" s="14" t="s">
        <v>78</v>
      </c>
      <c r="E21" s="14">
        <f t="shared" si="0"/>
        <v>327.57051865332119</v>
      </c>
      <c r="F21" s="47">
        <v>510</v>
      </c>
      <c r="H21" s="36">
        <v>35</v>
      </c>
      <c r="I21" s="229">
        <v>45587</v>
      </c>
      <c r="J21" s="44">
        <v>16.2</v>
      </c>
      <c r="K21" s="14" t="s">
        <v>78</v>
      </c>
      <c r="L21" s="14">
        <f t="shared" si="1"/>
        <v>222.22222222222223</v>
      </c>
      <c r="M21" s="47">
        <v>770</v>
      </c>
      <c r="O21" s="36">
        <v>58</v>
      </c>
      <c r="P21" s="229">
        <v>45587</v>
      </c>
      <c r="Q21" s="44">
        <v>26.8</v>
      </c>
      <c r="R21" s="44" t="s">
        <v>78</v>
      </c>
      <c r="S21" s="14">
        <f t="shared" si="2"/>
        <v>134.32835820895522</v>
      </c>
      <c r="T21" s="47">
        <v>890</v>
      </c>
    </row>
    <row r="22" spans="1:20" ht="18" customHeight="1" x14ac:dyDescent="0.3">
      <c r="A22" s="36">
        <v>13</v>
      </c>
      <c r="B22" s="229">
        <v>45587</v>
      </c>
      <c r="C22" s="44">
        <v>13.71</v>
      </c>
      <c r="D22" s="14" t="s">
        <v>78</v>
      </c>
      <c r="E22" s="14">
        <f t="shared" si="0"/>
        <v>262.58205689277895</v>
      </c>
      <c r="F22" s="47">
        <v>1530</v>
      </c>
      <c r="H22" s="36">
        <v>36</v>
      </c>
      <c r="I22" s="229">
        <v>45587</v>
      </c>
      <c r="J22" s="44">
        <v>15.28</v>
      </c>
      <c r="K22" s="14" t="s">
        <v>78</v>
      </c>
      <c r="L22" s="14">
        <f t="shared" si="1"/>
        <v>235.60209424083772</v>
      </c>
      <c r="M22" s="47">
        <v>920</v>
      </c>
      <c r="O22" s="36">
        <v>59</v>
      </c>
      <c r="P22" s="43"/>
      <c r="Q22" s="44"/>
      <c r="R22" s="44"/>
      <c r="S22" s="14"/>
      <c r="T22" s="47"/>
    </row>
    <row r="23" spans="1:20" ht="18" customHeight="1" x14ac:dyDescent="0.3">
      <c r="A23" s="36">
        <v>14</v>
      </c>
      <c r="B23" s="229">
        <v>45587</v>
      </c>
      <c r="C23" s="44">
        <v>12.73</v>
      </c>
      <c r="D23" s="14" t="s">
        <v>78</v>
      </c>
      <c r="E23" s="14">
        <f t="shared" si="0"/>
        <v>282.79654359780045</v>
      </c>
      <c r="F23" s="47">
        <v>520</v>
      </c>
      <c r="H23" s="36">
        <v>37</v>
      </c>
      <c r="I23" s="229">
        <v>45587</v>
      </c>
      <c r="J23" s="44">
        <v>15.39</v>
      </c>
      <c r="K23" s="14" t="s">
        <v>78</v>
      </c>
      <c r="L23" s="14">
        <f t="shared" si="1"/>
        <v>233.91812865497076</v>
      </c>
      <c r="M23" s="47">
        <v>820</v>
      </c>
      <c r="O23" s="36">
        <v>60</v>
      </c>
      <c r="P23" s="43"/>
      <c r="Q23" s="44"/>
      <c r="R23" s="44"/>
      <c r="S23" s="14"/>
      <c r="T23" s="47"/>
    </row>
    <row r="24" spans="1:20" ht="18" customHeight="1" x14ac:dyDescent="0.3">
      <c r="A24" s="36">
        <v>15</v>
      </c>
      <c r="B24" s="229">
        <v>45587</v>
      </c>
      <c r="C24" s="44">
        <v>12.12</v>
      </c>
      <c r="D24" s="14" t="s">
        <v>78</v>
      </c>
      <c r="E24" s="14">
        <f t="shared" si="0"/>
        <v>297.02970297029702</v>
      </c>
      <c r="F24" s="47">
        <v>440</v>
      </c>
      <c r="H24" s="36">
        <v>38</v>
      </c>
      <c r="I24" s="229">
        <v>45587</v>
      </c>
      <c r="J24" s="44">
        <v>14.8</v>
      </c>
      <c r="K24" s="14" t="s">
        <v>78</v>
      </c>
      <c r="L24" s="14">
        <f t="shared" si="1"/>
        <v>243.24324324324323</v>
      </c>
      <c r="M24" s="47">
        <v>800</v>
      </c>
      <c r="O24" s="36">
        <v>61</v>
      </c>
      <c r="P24" s="43"/>
      <c r="Q24" s="44"/>
      <c r="R24" s="44"/>
      <c r="S24" s="14"/>
      <c r="T24" s="47"/>
    </row>
    <row r="25" spans="1:20" ht="18" customHeight="1" x14ac:dyDescent="0.3">
      <c r="A25" s="36">
        <v>16</v>
      </c>
      <c r="B25" s="229">
        <v>45587</v>
      </c>
      <c r="C25" s="44">
        <v>10.4</v>
      </c>
      <c r="D25" s="14" t="s">
        <v>78</v>
      </c>
      <c r="E25" s="14">
        <f t="shared" si="0"/>
        <v>346.15384615384613</v>
      </c>
      <c r="F25" s="47">
        <v>450</v>
      </c>
      <c r="H25" s="36">
        <v>39</v>
      </c>
      <c r="I25" s="229">
        <v>45587</v>
      </c>
      <c r="J25" s="44">
        <v>16.48</v>
      </c>
      <c r="K25" s="14" t="s">
        <v>78</v>
      </c>
      <c r="L25" s="14">
        <f t="shared" si="1"/>
        <v>218.44660194174756</v>
      </c>
      <c r="M25" s="47">
        <v>990</v>
      </c>
      <c r="O25" s="36">
        <v>62</v>
      </c>
      <c r="P25" s="43"/>
      <c r="Q25" s="44"/>
      <c r="R25" s="44"/>
      <c r="S25" s="14"/>
      <c r="T25" s="47"/>
    </row>
    <row r="26" spans="1:20" ht="18" customHeight="1" x14ac:dyDescent="0.3">
      <c r="A26" s="36">
        <v>17</v>
      </c>
      <c r="B26" s="229">
        <v>45587</v>
      </c>
      <c r="C26" s="44">
        <v>14.51</v>
      </c>
      <c r="D26" s="14" t="s">
        <v>78</v>
      </c>
      <c r="E26" s="14">
        <f t="shared" si="0"/>
        <v>248.10475534114406</v>
      </c>
      <c r="F26" s="47">
        <v>320</v>
      </c>
      <c r="H26" s="36">
        <v>40</v>
      </c>
      <c r="I26" s="229">
        <v>45587</v>
      </c>
      <c r="J26" s="44">
        <v>15.96</v>
      </c>
      <c r="K26" s="14" t="s">
        <v>78</v>
      </c>
      <c r="L26" s="14">
        <f t="shared" si="1"/>
        <v>225.56390977443607</v>
      </c>
      <c r="M26" s="47">
        <v>950</v>
      </c>
      <c r="O26" s="36">
        <v>63</v>
      </c>
      <c r="P26" s="43"/>
      <c r="Q26" s="44"/>
      <c r="R26" s="44"/>
      <c r="S26" s="14"/>
      <c r="T26" s="47"/>
    </row>
    <row r="27" spans="1:20" ht="18" customHeight="1" x14ac:dyDescent="0.3">
      <c r="A27" s="36">
        <v>18</v>
      </c>
      <c r="B27" s="229">
        <v>45587</v>
      </c>
      <c r="C27" s="44">
        <v>13.83</v>
      </c>
      <c r="D27" s="14" t="s">
        <v>78</v>
      </c>
      <c r="E27" s="14">
        <f t="shared" si="0"/>
        <v>260.30368763557482</v>
      </c>
      <c r="F27" s="47">
        <v>270</v>
      </c>
      <c r="H27" s="36">
        <v>41</v>
      </c>
      <c r="I27" s="229">
        <v>45587</v>
      </c>
      <c r="J27" s="44">
        <v>14.92</v>
      </c>
      <c r="K27" s="14" t="s">
        <v>78</v>
      </c>
      <c r="L27" s="14">
        <f t="shared" si="1"/>
        <v>241.28686327077747</v>
      </c>
      <c r="M27" s="47">
        <v>810</v>
      </c>
      <c r="O27" s="36">
        <v>64</v>
      </c>
      <c r="P27" s="43"/>
      <c r="Q27" s="44"/>
      <c r="R27" s="44"/>
      <c r="S27" s="14"/>
      <c r="T27" s="47"/>
    </row>
    <row r="28" spans="1:20" ht="18" customHeight="1" x14ac:dyDescent="0.3">
      <c r="A28" s="36">
        <v>19</v>
      </c>
      <c r="B28" s="229">
        <v>45587</v>
      </c>
      <c r="C28" s="44">
        <v>13.76</v>
      </c>
      <c r="D28" s="14" t="s">
        <v>78</v>
      </c>
      <c r="E28" s="14">
        <f t="shared" si="0"/>
        <v>261.62790697674421</v>
      </c>
      <c r="F28" s="47">
        <v>500</v>
      </c>
      <c r="H28" s="36">
        <v>42</v>
      </c>
      <c r="I28" s="229">
        <v>45587</v>
      </c>
      <c r="J28" s="44">
        <v>16.07</v>
      </c>
      <c r="K28" s="14" t="s">
        <v>78</v>
      </c>
      <c r="L28" s="14">
        <f t="shared" si="1"/>
        <v>224.01991288114499</v>
      </c>
      <c r="M28" s="47">
        <v>980</v>
      </c>
      <c r="O28" s="36">
        <v>65</v>
      </c>
      <c r="P28" s="43"/>
      <c r="Q28" s="44"/>
      <c r="R28" s="44"/>
      <c r="S28" s="14"/>
      <c r="T28" s="47"/>
    </row>
    <row r="29" spans="1:20" ht="18" customHeight="1" x14ac:dyDescent="0.3">
      <c r="A29" s="36">
        <v>20</v>
      </c>
      <c r="B29" s="229">
        <v>45587</v>
      </c>
      <c r="C29" s="44">
        <v>12.05</v>
      </c>
      <c r="D29" s="14" t="s">
        <v>78</v>
      </c>
      <c r="E29" s="14">
        <f t="shared" si="0"/>
        <v>298.75518672199166</v>
      </c>
      <c r="F29" s="47">
        <v>460</v>
      </c>
      <c r="H29" s="36">
        <v>43</v>
      </c>
      <c r="I29" s="229">
        <v>45587</v>
      </c>
      <c r="J29" s="44">
        <v>16.11</v>
      </c>
      <c r="K29" s="14" t="s">
        <v>78</v>
      </c>
      <c r="L29" s="14">
        <f t="shared" si="1"/>
        <v>223.46368715083798</v>
      </c>
      <c r="M29" s="47">
        <v>890</v>
      </c>
      <c r="O29" s="36">
        <v>66</v>
      </c>
      <c r="P29" s="43"/>
      <c r="Q29" s="44"/>
      <c r="R29" s="44"/>
      <c r="S29" s="14"/>
      <c r="T29" s="47"/>
    </row>
    <row r="30" spans="1:20" ht="18" customHeight="1" x14ac:dyDescent="0.3">
      <c r="A30" s="36">
        <v>21</v>
      </c>
      <c r="B30" s="13"/>
      <c r="C30" s="44"/>
      <c r="D30" s="14"/>
      <c r="E30" s="14"/>
      <c r="F30" s="47"/>
      <c r="H30" s="36">
        <v>44</v>
      </c>
      <c r="I30" s="229">
        <v>45587</v>
      </c>
      <c r="J30" s="44">
        <v>15.07</v>
      </c>
      <c r="K30" s="14" t="s">
        <v>78</v>
      </c>
      <c r="L30" s="14">
        <f t="shared" si="1"/>
        <v>238.88520238885201</v>
      </c>
      <c r="M30" s="47">
        <v>1270</v>
      </c>
      <c r="O30" s="36">
        <v>67</v>
      </c>
      <c r="P30" s="43"/>
      <c r="Q30" s="44"/>
      <c r="R30" s="44"/>
      <c r="S30" s="14"/>
      <c r="T30" s="47"/>
    </row>
    <row r="31" spans="1:20" ht="18" customHeight="1" x14ac:dyDescent="0.3">
      <c r="A31" s="36">
        <v>22</v>
      </c>
      <c r="B31" s="13"/>
      <c r="C31" s="44"/>
      <c r="D31" s="14"/>
      <c r="E31" s="14"/>
      <c r="F31" s="47"/>
      <c r="H31" s="36">
        <v>45</v>
      </c>
      <c r="I31" s="229">
        <v>45587</v>
      </c>
      <c r="J31" s="44">
        <v>14.81</v>
      </c>
      <c r="K31" s="14" t="s">
        <v>78</v>
      </c>
      <c r="L31" s="14">
        <f t="shared" si="1"/>
        <v>243.07900067521945</v>
      </c>
      <c r="M31" s="47">
        <v>1030</v>
      </c>
      <c r="O31" s="36">
        <v>68</v>
      </c>
      <c r="P31" s="43"/>
      <c r="Q31" s="44"/>
      <c r="R31" s="44"/>
      <c r="S31" s="14"/>
      <c r="T31" s="47"/>
    </row>
    <row r="32" spans="1:20" ht="18" customHeight="1" thickBot="1" x14ac:dyDescent="0.35">
      <c r="A32" s="37">
        <v>23</v>
      </c>
      <c r="B32" s="16"/>
      <c r="C32" s="101"/>
      <c r="D32" s="17"/>
      <c r="E32" s="14"/>
      <c r="F32" s="48"/>
      <c r="H32" s="36">
        <v>46</v>
      </c>
      <c r="I32" s="16"/>
      <c r="J32" s="46"/>
      <c r="K32" s="19"/>
      <c r="L32" s="14"/>
      <c r="M32" s="48"/>
      <c r="O32" s="36">
        <v>69</v>
      </c>
      <c r="P32" s="45"/>
      <c r="Q32" s="46"/>
      <c r="R32" s="46"/>
      <c r="S32" s="14"/>
      <c r="T32" s="48"/>
    </row>
    <row r="33" spans="1:20" x14ac:dyDescent="0.3">
      <c r="A33" s="6"/>
      <c r="C33" s="139" t="s">
        <v>14</v>
      </c>
      <c r="D33" s="140"/>
      <c r="E33" s="9">
        <f>SUM(E10:E29)</f>
        <v>5927.4234744263076</v>
      </c>
      <c r="J33" s="139" t="s">
        <v>14</v>
      </c>
      <c r="K33" s="140"/>
      <c r="L33" s="9">
        <f>SUM(L10:L31)</f>
        <v>5081.1086672153697</v>
      </c>
      <c r="Q33" s="139" t="s">
        <v>14</v>
      </c>
      <c r="R33" s="140"/>
      <c r="S33" s="9">
        <f>SUM(S10:S21)</f>
        <v>2037.6021367071071</v>
      </c>
      <c r="T33" s="8"/>
    </row>
    <row r="34" spans="1:20" ht="15" thickBot="1" x14ac:dyDescent="0.35">
      <c r="A34" s="6"/>
      <c r="C34" s="143" t="s">
        <v>15</v>
      </c>
      <c r="D34" s="144"/>
      <c r="E34" s="80">
        <f>IFERROR(ROUND(AVERAGE(E10:E32),0),"")</f>
        <v>296</v>
      </c>
      <c r="J34" s="143" t="s">
        <v>15</v>
      </c>
      <c r="K34" s="144"/>
      <c r="L34" s="80">
        <f>IFERROR(ROUND(AVERAGE(L10:L32),0),"")</f>
        <v>231</v>
      </c>
      <c r="Q34" s="143" t="s">
        <v>15</v>
      </c>
      <c r="R34" s="144"/>
      <c r="S34" s="20">
        <f>IFERROR(ROUND(AVERAGE(S10:S32),0),"")</f>
        <v>170</v>
      </c>
      <c r="T34" s="8"/>
    </row>
    <row r="35" spans="1:20" ht="9.75" customHeight="1" thickBot="1" x14ac:dyDescent="0.35">
      <c r="A35" s="6"/>
      <c r="T35" s="8"/>
    </row>
    <row r="36" spans="1:20" ht="15.6" x14ac:dyDescent="0.3">
      <c r="A36" s="21"/>
      <c r="C36" s="145" t="s">
        <v>16</v>
      </c>
      <c r="D36" s="146"/>
      <c r="E36" s="147"/>
      <c r="H36" s="39" t="s">
        <v>17</v>
      </c>
      <c r="I36" s="51">
        <v>6130</v>
      </c>
      <c r="J36" s="22" t="s">
        <v>18</v>
      </c>
      <c r="L36" s="23"/>
      <c r="T36" s="8"/>
    </row>
    <row r="37" spans="1:20" ht="15.6" x14ac:dyDescent="0.3">
      <c r="A37" s="24"/>
      <c r="C37" s="102" t="s">
        <v>19</v>
      </c>
      <c r="D37" s="49">
        <v>1.5</v>
      </c>
      <c r="E37" s="26" t="s">
        <v>20</v>
      </c>
      <c r="H37" s="40" t="s">
        <v>21</v>
      </c>
      <c r="I37" s="44">
        <v>890</v>
      </c>
      <c r="J37" s="27" t="s">
        <v>18</v>
      </c>
      <c r="L37" s="28"/>
      <c r="T37" s="8"/>
    </row>
    <row r="38" spans="1:20" ht="15.6" x14ac:dyDescent="0.3">
      <c r="A38" s="6"/>
      <c r="C38" s="102" t="s">
        <v>52</v>
      </c>
      <c r="D38" s="49">
        <v>5.01</v>
      </c>
      <c r="E38" s="26" t="s">
        <v>20</v>
      </c>
      <c r="H38" s="40" t="s">
        <v>23</v>
      </c>
      <c r="I38" s="44">
        <v>6.5</v>
      </c>
      <c r="J38" s="27" t="s">
        <v>24</v>
      </c>
      <c r="T38" s="8"/>
    </row>
    <row r="39" spans="1:20" ht="15" customHeight="1" x14ac:dyDescent="0.3">
      <c r="A39" s="6"/>
      <c r="C39" s="102" t="s">
        <v>22</v>
      </c>
      <c r="D39" s="49">
        <v>4.01</v>
      </c>
      <c r="E39" s="26" t="s">
        <v>20</v>
      </c>
      <c r="H39" s="40" t="s">
        <v>26</v>
      </c>
      <c r="I39" s="44">
        <v>32.9</v>
      </c>
      <c r="J39" s="27" t="s">
        <v>27</v>
      </c>
      <c r="T39" s="8"/>
    </row>
    <row r="40" spans="1:20" ht="15.6" x14ac:dyDescent="0.3">
      <c r="A40" s="6"/>
      <c r="C40" s="102" t="s">
        <v>25</v>
      </c>
      <c r="D40" s="49">
        <v>3.8</v>
      </c>
      <c r="E40" s="26" t="s">
        <v>20</v>
      </c>
      <c r="H40" s="40" t="s">
        <v>29</v>
      </c>
      <c r="I40" s="44">
        <v>5927</v>
      </c>
      <c r="J40" s="27" t="s">
        <v>30</v>
      </c>
      <c r="T40" s="8"/>
    </row>
    <row r="41" spans="1:20" ht="15.6" x14ac:dyDescent="0.3">
      <c r="A41" s="6"/>
      <c r="C41" s="102" t="s">
        <v>28</v>
      </c>
      <c r="D41" s="49">
        <v>14</v>
      </c>
      <c r="E41" s="26" t="s">
        <v>20</v>
      </c>
      <c r="H41" s="40" t="s">
        <v>32</v>
      </c>
      <c r="I41" s="44">
        <v>5081</v>
      </c>
      <c r="J41" s="27" t="s">
        <v>30</v>
      </c>
      <c r="L41" s="148" t="s">
        <v>33</v>
      </c>
      <c r="M41" s="148"/>
      <c r="P41" s="148" t="s">
        <v>34</v>
      </c>
      <c r="Q41" s="148"/>
      <c r="R41" s="148" t="s">
        <v>35</v>
      </c>
      <c r="S41" s="148"/>
      <c r="T41" s="149"/>
    </row>
    <row r="42" spans="1:20" ht="15.6" x14ac:dyDescent="0.3">
      <c r="A42" s="6"/>
      <c r="C42" s="102" t="s">
        <v>93</v>
      </c>
      <c r="D42" s="49">
        <v>25</v>
      </c>
      <c r="E42" s="26" t="s">
        <v>20</v>
      </c>
      <c r="H42" s="40" t="s">
        <v>48</v>
      </c>
      <c r="I42" s="44">
        <v>2037</v>
      </c>
      <c r="J42" s="27" t="s">
        <v>30</v>
      </c>
      <c r="L42" s="81"/>
      <c r="M42" s="81"/>
      <c r="P42" s="81"/>
      <c r="Q42" s="81"/>
      <c r="R42" s="81"/>
      <c r="S42" s="81"/>
      <c r="T42" s="82"/>
    </row>
    <row r="43" spans="1:20" ht="15.6" x14ac:dyDescent="0.3">
      <c r="A43" s="6"/>
      <c r="C43" s="102" t="s">
        <v>31</v>
      </c>
      <c r="D43" s="49">
        <v>26</v>
      </c>
      <c r="E43" s="26" t="s">
        <v>20</v>
      </c>
      <c r="H43" s="40" t="s">
        <v>37</v>
      </c>
      <c r="I43" s="44">
        <v>13045</v>
      </c>
      <c r="J43" s="27" t="s">
        <v>30</v>
      </c>
      <c r="L43" s="141" t="s">
        <v>38</v>
      </c>
      <c r="M43" s="141"/>
      <c r="P43" s="141" t="s">
        <v>39</v>
      </c>
      <c r="Q43" s="141"/>
      <c r="R43" s="141" t="s">
        <v>40</v>
      </c>
      <c r="S43" s="141"/>
      <c r="T43" s="142"/>
    </row>
    <row r="44" spans="1:20" ht="15.6" x14ac:dyDescent="0.3">
      <c r="A44" s="6"/>
      <c r="C44" s="102" t="s">
        <v>58</v>
      </c>
      <c r="D44" s="49">
        <v>26</v>
      </c>
      <c r="E44" s="26" t="s">
        <v>20</v>
      </c>
      <c r="H44" s="40" t="s">
        <v>42</v>
      </c>
      <c r="I44" s="44">
        <v>19570</v>
      </c>
      <c r="J44" s="27" t="s">
        <v>18</v>
      </c>
      <c r="L44" s="78"/>
      <c r="M44" s="78"/>
      <c r="P44" s="78"/>
      <c r="Q44" s="78"/>
      <c r="R44" s="78"/>
      <c r="S44" s="78"/>
      <c r="T44" s="79"/>
    </row>
    <row r="45" spans="1:20" ht="15.6" x14ac:dyDescent="0.3">
      <c r="A45" s="6"/>
      <c r="C45" s="102" t="s">
        <v>36</v>
      </c>
      <c r="D45" s="49">
        <v>17</v>
      </c>
      <c r="E45" s="26" t="s">
        <v>20</v>
      </c>
      <c r="H45" s="40" t="s">
        <v>44</v>
      </c>
      <c r="I45" s="44">
        <v>16.399999999999999</v>
      </c>
      <c r="J45" s="27" t="s">
        <v>45</v>
      </c>
      <c r="T45" s="8"/>
    </row>
    <row r="46" spans="1:20" ht="16.2" thickBot="1" x14ac:dyDescent="0.35">
      <c r="A46" s="6"/>
      <c r="C46" s="102" t="s">
        <v>41</v>
      </c>
      <c r="D46" s="49">
        <v>0.2</v>
      </c>
      <c r="E46" s="26" t="s">
        <v>20</v>
      </c>
      <c r="H46" s="41" t="s">
        <v>46</v>
      </c>
      <c r="I46" s="46">
        <v>13</v>
      </c>
      <c r="J46" s="33" t="s">
        <v>45</v>
      </c>
      <c r="T46" s="8"/>
    </row>
    <row r="47" spans="1:20" ht="16.2" thickBot="1" x14ac:dyDescent="0.35">
      <c r="A47" s="31"/>
      <c r="B47" s="32"/>
      <c r="C47" s="110" t="s">
        <v>43</v>
      </c>
      <c r="D47" s="50">
        <v>0</v>
      </c>
      <c r="E47" s="30" t="s">
        <v>20</v>
      </c>
      <c r="F47" s="42"/>
      <c r="G47" s="32"/>
      <c r="H47" s="40"/>
      <c r="I47" s="44"/>
      <c r="J47" s="27"/>
      <c r="K47" s="32"/>
      <c r="L47" s="32"/>
      <c r="M47" s="42"/>
      <c r="N47" s="32"/>
      <c r="O47" s="42"/>
      <c r="P47" s="32"/>
      <c r="Q47" s="32"/>
      <c r="R47" s="32"/>
      <c r="S47" s="32"/>
      <c r="T47" s="34"/>
    </row>
    <row r="48" spans="1:20" ht="15" thickBot="1" x14ac:dyDescent="0.35">
      <c r="C48" s="42"/>
      <c r="D48" s="32"/>
      <c r="E48" s="32"/>
      <c r="H48" s="41"/>
      <c r="I48" s="46"/>
      <c r="J48" s="33"/>
    </row>
  </sheetData>
  <mergeCells count="22">
    <mergeCell ref="A6:T6"/>
    <mergeCell ref="A1:L3"/>
    <mergeCell ref="M2:T2"/>
    <mergeCell ref="M3:T3"/>
    <mergeCell ref="A4:T4"/>
    <mergeCell ref="A5:T5"/>
    <mergeCell ref="A8:F8"/>
    <mergeCell ref="H8:M8"/>
    <mergeCell ref="O8:T8"/>
    <mergeCell ref="C33:D33"/>
    <mergeCell ref="J33:K33"/>
    <mergeCell ref="Q33:R33"/>
    <mergeCell ref="L43:M43"/>
    <mergeCell ref="P43:Q43"/>
    <mergeCell ref="R43:T43"/>
    <mergeCell ref="C34:D34"/>
    <mergeCell ref="J34:K34"/>
    <mergeCell ref="Q34:R34"/>
    <mergeCell ref="C36:E36"/>
    <mergeCell ref="L41:M41"/>
    <mergeCell ref="P41:Q41"/>
    <mergeCell ref="R41:T41"/>
  </mergeCells>
  <dataValidations count="9">
    <dataValidation type="whole" operator="greaterThanOrEqual" showErrorMessage="1" errorTitle="Plant SR No" error="Plant SR No must be a whole number &gt;= 1." sqref="C4" xr:uid="{77AEB759-6FB7-4D00-B502-960A8959FD36}">
      <formula1>1</formula1>
    </dataValidation>
    <dataValidation type="decimal" operator="greaterThanOrEqual" allowBlank="1" showErrorMessage="1" errorTitle="Value" error="Value must be a number &gt;= 0." sqref="D37:D47 I36:I48" xr:uid="{D0287399-93F7-4AED-AFD0-7CAD8596232A}">
      <formula1>0</formula1>
    </dataValidation>
    <dataValidation type="decimal" allowBlank="1" showErrorMessage="1" errorTitle="Conductivity" error="Conductivity must be 0..50000 us/cm." sqref="F10:F32 M10:M32 T10:T32" xr:uid="{7DE662FC-429E-497D-8030-D9EF82A3D1AB}">
      <formula1>0</formula1>
      <formula2>50000</formula2>
    </dataValidation>
    <dataValidation type="decimal" operator="greaterThanOrEqual" allowBlank="1" showErrorMessage="1" errorTitle="Flow" error="Flow must be a number &gt;= 0." sqref="C10:C32 L10:L32 J10:J32 E10:E32 Q10:Q32 S10:S32" xr:uid="{4C91F33A-B031-46CF-8E44-020A518C2ECE}">
      <formula1>0</formula1>
    </dataValidation>
    <dataValidation type="date" operator="greaterThan" allowBlank="1" showErrorMessage="1" errorTitle="Date" error="Enter a real date." sqref="I10:I32 I3 B10:B32 P10:P32" xr:uid="{731D4B6C-B123-4BBD-BFAC-4C2625B51048}">
      <formula1>DATE(2000,1,1)</formula1>
    </dataValidation>
    <dataValidation type="whole" operator="greaterThanOrEqual" allowBlank="1" showErrorMessage="1" errorTitle="Module no." error="Module number must be a whole number &gt;= 1." sqref="A10:A32 H10:H32 O10:O32" xr:uid="{31F8E1EC-1A6F-48BD-9A8D-0FDA7E1551C8}">
      <formula1>1</formula1>
    </dataValidation>
    <dataValidation type="list" allowBlank="1" sqref="K10:K32 D10:D32 R10:R32" xr:uid="{B9AFA6CB-FAA1-4FBA-85E3-D1A71CD51921}">
      <formula1>"Non Colour,Colour"</formula1>
    </dataValidation>
    <dataValidation type="list" showErrorMessage="1" errorTitle="Zone" error="Pick a zone from the list." sqref="C5" xr:uid="{47322945-CE0D-4BF9-AD87-C0AB09F00299}">
      <formula1>"Ahmedabad,Vadodara,Ankleshwar,Panoli,Jhagadia,Dahej,Vapi"</formula1>
    </dataValidation>
    <dataValidation type="list" allowBlank="1" showErrorMessage="1" errorTitle="Stage" error="Pick the stage from the list." sqref="A8 H8 O8" xr:uid="{FB65041C-FAF4-448E-BA06-712B5B9EA582}">
      <formula1>"I STAGE,II STAGE,III STAGE,IV STAGE"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BHARAT 2977(100w)</vt:lpstr>
      <vt:lpstr>BHARAT 3256(200w)</vt:lpstr>
      <vt:lpstr>BHARAT 3257(70w)</vt:lpstr>
      <vt:lpstr>BHARAT 3523(200w)</vt:lpstr>
      <vt:lpstr>BHARAT(70w)</vt:lpstr>
      <vt:lpstr>AARTI (2402) (150w)</vt:lpstr>
      <vt:lpstr>AARTI(2403)(50w)</vt:lpstr>
      <vt:lpstr>AARTI(2405)(60w)</vt:lpstr>
      <vt:lpstr>AARTI(3091)(500w)</vt:lpstr>
      <vt:lpstr>AARTI(3092)(150w)</vt:lpstr>
      <vt:lpstr>CADILA (3775)(110w)</vt:lpstr>
      <vt:lpstr>CADILA(3776)(50w)</vt:lpstr>
      <vt:lpstr>ALIVUS (1942)(200w)</vt:lpstr>
      <vt:lpstr>ALIVUS(3572)(50w)</vt:lpstr>
      <vt:lpstr>ALIVUS(3842)(120w)</vt:lpstr>
      <vt:lpstr>NOCIL(3945)(328w)</vt:lpstr>
      <vt:lpstr>'BHARAT 2977(100w)'!Print_Area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Reports</dc:creator>
  <cp:lastModifiedBy>Yagnik ZD</cp:lastModifiedBy>
  <dcterms:created xsi:type="dcterms:W3CDTF">2026-06-23T12:22:36Z</dcterms:created>
  <dcterms:modified xsi:type="dcterms:W3CDTF">2026-07-15T17:59:14Z</dcterms:modified>
</cp:coreProperties>
</file>